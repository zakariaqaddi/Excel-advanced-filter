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Codes\Projets\Projet Vba\"/>
    </mc:Choice>
  </mc:AlternateContent>
  <xr:revisionPtr revIDLastSave="0" documentId="13_ncr:1_{11817045-A5E0-4B94-B414-909F3270F11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UI" sheetId="9" r:id="rId1"/>
    <sheet name="Maquette" sheetId="5" state="veryHidden" r:id="rId2"/>
    <sheet name="Maquette2" sheetId="7" state="veryHidden" r:id="rId3"/>
    <sheet name="Gui" sheetId="4" state="hidden" r:id="rId4"/>
    <sheet name="Filter" sheetId="6" state="veryHidden" r:id="rId5"/>
    <sheet name="Filter2" sheetId="8" state="veryHidden" r:id="rId6"/>
    <sheet name="Status" sheetId="3" state="veryHidden" r:id="rId7"/>
    <sheet name="Profondeur " sheetId="2" state="veryHidden" r:id="rId8"/>
  </sheets>
  <definedNames>
    <definedName name="_xlnm._FilterDatabase" localSheetId="1" hidden="1">Maquette!$A$1:$Y$5</definedName>
    <definedName name="_xlnm._FilterDatabase" localSheetId="2" hidden="1">Maquette2!$A$1:$AF$4</definedName>
    <definedName name="_xlnm.Criteria" localSheetId="4">Filter!$AB$1:$AY$2</definedName>
    <definedName name="_xlnm.Criteria" localSheetId="5">Filter2!$AH$1:$BL$2</definedName>
    <definedName name="_xlnm.Extract" localSheetId="4">Filter!$A$1:$Y$1</definedName>
    <definedName name="_xlnm.Extract" localSheetId="5">Filter2!$A$1:$AF$1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" i="5" l="1"/>
  <c r="Y3" i="5"/>
  <c r="Y4" i="5"/>
  <c r="Y5" i="5"/>
  <c r="R2" i="5"/>
  <c r="R3" i="5"/>
  <c r="R4" i="5"/>
  <c r="R5" i="5"/>
  <c r="A5" i="5"/>
  <c r="A86" i="2"/>
  <c r="D86" i="2"/>
  <c r="A4" i="5"/>
  <c r="A3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2" i="2"/>
  <c r="A4" i="7"/>
  <c r="A3" i="7"/>
  <c r="A2" i="7"/>
  <c r="A2" i="5" l="1"/>
  <c r="D85" i="2" l="1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K18" i="4"/>
  <c r="K16" i="4"/>
  <c r="O10" i="4"/>
  <c r="O8" i="4"/>
  <c r="O6" i="4"/>
  <c r="N4" i="5" l="1"/>
  <c r="N5" i="5"/>
  <c r="N2" i="5"/>
  <c r="N3" i="5"/>
  <c r="J2" i="7"/>
  <c r="K14" i="4"/>
  <c r="X3" i="5" l="1"/>
  <c r="S3" i="5"/>
  <c r="T3" i="5" s="1"/>
  <c r="U3" i="5" s="1"/>
  <c r="S5" i="5"/>
  <c r="T5" i="5" s="1"/>
  <c r="U5" i="5" s="1"/>
  <c r="X5" i="5"/>
  <c r="X2" i="5"/>
  <c r="S2" i="5"/>
  <c r="T2" i="5" s="1"/>
  <c r="U2" i="5" s="1"/>
  <c r="X4" i="5"/>
  <c r="S4" i="5"/>
  <c r="T4" i="5" s="1"/>
  <c r="U4" i="5" s="1"/>
</calcChain>
</file>

<file path=xl/sharedStrings.xml><?xml version="1.0" encoding="utf-8"?>
<sst xmlns="http://schemas.openxmlformats.org/spreadsheetml/2006/main" count="502" uniqueCount="140">
  <si>
    <t>Nom de la société</t>
  </si>
  <si>
    <t>Opérateur</t>
  </si>
  <si>
    <t>ON-OFF</t>
  </si>
  <si>
    <t>Configuration</t>
  </si>
  <si>
    <t>Imm/N°parc</t>
  </si>
  <si>
    <t>Dimension</t>
  </si>
  <si>
    <t>Marque</t>
  </si>
  <si>
    <t>Profil</t>
  </si>
  <si>
    <t>N° Série</t>
  </si>
  <si>
    <t>Date de montage</t>
  </si>
  <si>
    <t>Position</t>
  </si>
  <si>
    <t>OTD</t>
  </si>
  <si>
    <t>RTD</t>
  </si>
  <si>
    <t>Km de montage</t>
  </si>
  <si>
    <t>Km Inspection</t>
  </si>
  <si>
    <t>Km</t>
  </si>
  <si>
    <t>KPM</t>
  </si>
  <si>
    <t>Projection</t>
  </si>
  <si>
    <t>Progrès/km</t>
  </si>
  <si>
    <t>Status</t>
  </si>
  <si>
    <t>Reliable</t>
  </si>
  <si>
    <t>Progrès/prf</t>
  </si>
  <si>
    <t>ENG</t>
  </si>
  <si>
    <t>Running</t>
  </si>
  <si>
    <t>Removed</t>
  </si>
  <si>
    <t>STEER</t>
  </si>
  <si>
    <t>DRIVE</t>
  </si>
  <si>
    <t>TRAILER</t>
  </si>
  <si>
    <t>11R22.5</t>
  </si>
  <si>
    <t>12R22.5</t>
  </si>
  <si>
    <t>295/80R22.5</t>
  </si>
  <si>
    <t>315/80R22.5</t>
  </si>
  <si>
    <t>215/75R17,5</t>
  </si>
  <si>
    <t>385/65R22,5</t>
  </si>
  <si>
    <t>235/75R17,5</t>
  </si>
  <si>
    <t>385/55R22,5</t>
  </si>
  <si>
    <t>275/80R22,5</t>
  </si>
  <si>
    <t>295/80R22,5</t>
  </si>
  <si>
    <t>315/80R22,5</t>
  </si>
  <si>
    <t>SP320</t>
  </si>
  <si>
    <t>Dimension &amp; profil</t>
  </si>
  <si>
    <t>11R22,5</t>
  </si>
  <si>
    <t>12R22,5</t>
  </si>
  <si>
    <t>SP350A</t>
  </si>
  <si>
    <t>SP350</t>
  </si>
  <si>
    <t>9,5R17,5</t>
  </si>
  <si>
    <t>SP442</t>
  </si>
  <si>
    <t>24.0/22.8</t>
  </si>
  <si>
    <t>325/95R24</t>
  </si>
  <si>
    <t>13R22,5</t>
  </si>
  <si>
    <t>SP925</t>
  </si>
  <si>
    <t>SP931</t>
  </si>
  <si>
    <t>13R20</t>
  </si>
  <si>
    <t>325/95R22,5</t>
  </si>
  <si>
    <t>12,00R24</t>
  </si>
  <si>
    <t>12,00R22,5</t>
  </si>
  <si>
    <t>225/80R17,5</t>
  </si>
  <si>
    <t>7,50R16</t>
  </si>
  <si>
    <t>SP571</t>
  </si>
  <si>
    <t>315/70R22,5</t>
  </si>
  <si>
    <t>265/70R19,5</t>
  </si>
  <si>
    <t>SP835</t>
  </si>
  <si>
    <t>SP261</t>
  </si>
  <si>
    <t>275/70R22,5</t>
  </si>
  <si>
    <t>9R22,5</t>
  </si>
  <si>
    <t>10R22,5</t>
  </si>
  <si>
    <t>9,00R20</t>
  </si>
  <si>
    <t>245/70R19,5</t>
  </si>
  <si>
    <t>7,50R18</t>
  </si>
  <si>
    <t>8,25R16</t>
  </si>
  <si>
    <t>SP160</t>
  </si>
  <si>
    <t>Profondeur [mm]</t>
  </si>
  <si>
    <t>AT115</t>
  </si>
  <si>
    <t>AT127</t>
  </si>
  <si>
    <t xml:space="preserve">TQ660 </t>
  </si>
  <si>
    <t>Date d'inspection</t>
  </si>
  <si>
    <t xml:space="preserve">User Interface </t>
  </si>
  <si>
    <t>Rendement</t>
  </si>
  <si>
    <t>Progrés/Km</t>
  </si>
  <si>
    <t>Progrés/prf</t>
  </si>
  <si>
    <t>No</t>
  </si>
  <si>
    <t>Benne</t>
  </si>
  <si>
    <t>10-90</t>
  </si>
  <si>
    <t>d/15/07</t>
  </si>
  <si>
    <t>D1234567</t>
  </si>
  <si>
    <t>13/03/2021</t>
  </si>
  <si>
    <t>13/03/2020</t>
  </si>
  <si>
    <t>6,3</t>
  </si>
  <si>
    <t>OK</t>
  </si>
  <si>
    <t>Ville</t>
  </si>
  <si>
    <t>Utilisation</t>
  </si>
  <si>
    <t>Compteur kilométrique -
Départ</t>
  </si>
  <si>
    <t xml:space="preserve">Date de contrôle </t>
  </si>
  <si>
    <t>Compteur kilométrique -
Actuel</t>
  </si>
  <si>
    <t>Rendement Fait</t>
  </si>
  <si>
    <t>Observation</t>
  </si>
  <si>
    <t>Date de démontage</t>
  </si>
  <si>
    <t>Rendement final</t>
  </si>
  <si>
    <t>NO</t>
  </si>
  <si>
    <t>Profondeur de départ 1</t>
  </si>
  <si>
    <t>Profondeur de départ 2</t>
  </si>
  <si>
    <t>Profondeur de départ 3</t>
  </si>
  <si>
    <t>Profondeur de départ 4</t>
  </si>
  <si>
    <t>Profondeur restante2</t>
  </si>
  <si>
    <t>Profondeur restante3</t>
  </si>
  <si>
    <t>Profondeur restante4</t>
  </si>
  <si>
    <t>Profondeur Finale 1</t>
  </si>
  <si>
    <t>Profondeur Finae 2</t>
  </si>
  <si>
    <t>Profondeur Finale3</t>
  </si>
  <si>
    <t>Profondeur Finale 4</t>
  </si>
  <si>
    <t>Observation Fnale</t>
  </si>
  <si>
    <t xml:space="preserve">Profondeur restante 1 </t>
  </si>
  <si>
    <t>Compteur kilométrique -
Final</t>
  </si>
  <si>
    <t xml:space="preserve"> </t>
  </si>
  <si>
    <t>AB</t>
  </si>
  <si>
    <t>4x2</t>
  </si>
  <si>
    <t>efh</t>
  </si>
  <si>
    <t>hyyhyh</t>
  </si>
  <si>
    <t>BAA</t>
  </si>
  <si>
    <t>16,5</t>
  </si>
  <si>
    <t>QQQ</t>
  </si>
  <si>
    <t>10R20</t>
  </si>
  <si>
    <t>11R22</t>
  </si>
  <si>
    <t>11R20</t>
  </si>
  <si>
    <t>10R15</t>
  </si>
  <si>
    <t xml:space="preserve">Suivi de rendement </t>
  </si>
  <si>
    <t>Suivi Tests</t>
  </si>
  <si>
    <t>AV</t>
  </si>
  <si>
    <t>TR</t>
  </si>
  <si>
    <t>SR</t>
  </si>
  <si>
    <t>a</t>
  </si>
  <si>
    <t>ZZZZZZ</t>
  </si>
  <si>
    <t>ZZZZZZZ</t>
  </si>
  <si>
    <t>ZZZZZZZZ</t>
  </si>
  <si>
    <t>AT27</t>
  </si>
  <si>
    <t>azzzzz</t>
  </si>
  <si>
    <t>Austone</t>
  </si>
  <si>
    <t/>
  </si>
  <si>
    <t>zzz"</t>
  </si>
  <si>
    <t>Dunlop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</si>
</sst>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#,##0.0"/>
    <numFmt numFmtId="166" formatCode="0.0"/>
    <numFmt numFmtId="167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rgb="FF29C7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29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>
      <alignment vertical="center" wrapText="1"/>
    </xf>
    <xf numFmtId="9" fontId="2" fillId="0" borderId="0" applyFont="0" applyFill="0" applyBorder="0" applyAlignment="0" applyProtection="0"/>
    <xf numFmtId="165" fontId="2" fillId="0" borderId="0" applyFont="0" applyFill="0" applyBorder="0" applyProtection="0">
      <alignment horizontal="right" vertical="center"/>
    </xf>
    <xf numFmtId="164" fontId="1" fillId="0" borderId="0" applyFont="0" applyFill="0" applyBorder="0" applyAlignment="0" applyProtection="0"/>
    <xf numFmtId="0" fontId="12" fillId="9" borderId="0" applyNumberFormat="0" applyFont="0" applyBorder="0" applyAlignment="0" applyProtection="0"/>
  </cellStyleXfs>
  <cellXfs count="112">
    <xf numFmtId="0" fontId="0" fillId="0" borderId="0" xfId="0"/>
    <xf numFmtId="0" fontId="0" fillId="0" borderId="1" xfId="0" applyBorder="1"/>
    <xf numFmtId="0" fontId="3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/>
    <xf numFmtId="0" fontId="3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left" vertical="center"/>
    </xf>
    <xf numFmtId="0" fontId="0" fillId="2" borderId="0" xfId="0" applyFill="1"/>
    <xf numFmtId="0" fontId="6" fillId="4" borderId="1" xfId="0" applyFont="1" applyFill="1" applyBorder="1" applyAlignment="1">
      <alignment horizontal="left" vertical="center"/>
    </xf>
    <xf numFmtId="0" fontId="2" fillId="6" borderId="0" xfId="0" applyFont="1" applyFill="1"/>
    <xf numFmtId="0" fontId="5" fillId="2" borderId="0" xfId="0" applyFont="1" applyFill="1" applyAlignment="1">
      <alignment vertical="center"/>
    </xf>
    <xf numFmtId="0" fontId="7" fillId="2" borderId="1" xfId="0" applyFont="1" applyFill="1" applyBorder="1" applyProtection="1">
      <protection locked="0"/>
    </xf>
    <xf numFmtId="14" fontId="7" fillId="2" borderId="1" xfId="0" applyNumberFormat="1" applyFont="1" applyFill="1" applyBorder="1" applyProtection="1">
      <protection locked="0"/>
    </xf>
    <xf numFmtId="1" fontId="7" fillId="2" borderId="1" xfId="0" applyNumberFormat="1" applyFont="1" applyFill="1" applyBorder="1" applyProtection="1">
      <protection locked="0"/>
    </xf>
    <xf numFmtId="0" fontId="2" fillId="6" borderId="1" xfId="0" applyFont="1" applyFill="1" applyBorder="1"/>
    <xf numFmtId="1" fontId="2" fillId="6" borderId="1" xfId="0" applyNumberFormat="1" applyFont="1" applyFill="1" applyBorder="1"/>
    <xf numFmtId="49" fontId="7" fillId="2" borderId="1" xfId="0" applyNumberFormat="1" applyFont="1" applyFill="1" applyBorder="1" applyProtection="1">
      <protection locked="0"/>
    </xf>
    <xf numFmtId="9" fontId="2" fillId="6" borderId="1" xfId="1" applyFont="1" applyFill="1" applyBorder="1"/>
    <xf numFmtId="0" fontId="0" fillId="5" borderId="0" xfId="0" applyFill="1"/>
    <xf numFmtId="0" fontId="0" fillId="7" borderId="0" xfId="0" applyFill="1"/>
    <xf numFmtId="167" fontId="7" fillId="0" borderId="8" xfId="0" applyNumberFormat="1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13" fillId="11" borderId="5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10" fillId="8" borderId="3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49" fontId="10" fillId="8" borderId="3" xfId="0" applyNumberFormat="1" applyFont="1" applyFill="1" applyBorder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9" fontId="0" fillId="0" borderId="0" xfId="1" applyFont="1" applyAlignment="1">
      <alignment horizontal="left" vertical="center"/>
    </xf>
    <xf numFmtId="0" fontId="10" fillId="8" borderId="2" xfId="0" applyFont="1" applyFill="1" applyBorder="1" applyAlignment="1">
      <alignment horizontal="left" vertical="center"/>
    </xf>
    <xf numFmtId="2" fontId="10" fillId="8" borderId="3" xfId="0" applyNumberFormat="1" applyFont="1" applyFill="1" applyBorder="1" applyAlignment="1">
      <alignment horizontal="left" vertical="center"/>
    </xf>
    <xf numFmtId="166" fontId="7" fillId="0" borderId="8" xfId="1" applyNumberFormat="1" applyFont="1" applyFill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6" fontId="7" fillId="0" borderId="9" xfId="1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 vertical="center"/>
    </xf>
    <xf numFmtId="0" fontId="13" fillId="10" borderId="4" xfId="0" applyFont="1" applyFill="1" applyBorder="1" applyAlignment="1">
      <alignment horizontal="left" vertical="center"/>
    </xf>
    <xf numFmtId="49" fontId="13" fillId="10" borderId="5" xfId="0" applyNumberFormat="1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3" fillId="10" borderId="5" xfId="0" applyFont="1" applyFill="1" applyBorder="1" applyAlignment="1">
      <alignment horizontal="left" vertical="center"/>
    </xf>
    <xf numFmtId="166" fontId="13" fillId="11" borderId="6" xfId="0" applyNumberFormat="1" applyFont="1" applyFill="1" applyBorder="1" applyAlignment="1">
      <alignment horizontal="left" vertical="center"/>
    </xf>
    <xf numFmtId="14" fontId="13" fillId="10" borderId="5" xfId="0" applyNumberFormat="1" applyFont="1" applyFill="1" applyBorder="1" applyAlignment="1">
      <alignment horizontal="left" vertical="center"/>
    </xf>
    <xf numFmtId="165" fontId="13" fillId="10" borderId="5" xfId="0" applyNumberFormat="1" applyFont="1" applyFill="1" applyBorder="1" applyAlignment="1">
      <alignment horizontal="left" vertical="center"/>
    </xf>
    <xf numFmtId="14" fontId="13" fillId="11" borderId="5" xfId="0" applyNumberFormat="1" applyFont="1" applyFill="1" applyBorder="1" applyAlignment="1">
      <alignment horizontal="left" vertical="center"/>
    </xf>
    <xf numFmtId="14" fontId="6" fillId="10" borderId="5" xfId="0" applyNumberFormat="1" applyFont="1" applyFill="1" applyBorder="1" applyAlignment="1">
      <alignment horizontal="left" vertical="center"/>
    </xf>
    <xf numFmtId="0" fontId="6" fillId="10" borderId="5" xfId="0" applyFont="1" applyFill="1" applyBorder="1" applyAlignment="1">
      <alignment horizontal="left" vertical="center"/>
    </xf>
    <xf numFmtId="166" fontId="6" fillId="10" borderId="6" xfId="0" applyNumberFormat="1" applyFont="1" applyFill="1" applyBorder="1" applyAlignment="1">
      <alignment horizontal="left" vertical="center"/>
    </xf>
    <xf numFmtId="165" fontId="7" fillId="0" borderId="8" xfId="5" applyNumberFormat="1" applyFont="1" applyFill="1" applyBorder="1" applyAlignment="1" applyProtection="1">
      <alignment horizontal="left" vertical="center"/>
    </xf>
    <xf numFmtId="14" fontId="7" fillId="0" borderId="8" xfId="5" applyNumberFormat="1" applyFont="1" applyFill="1" applyBorder="1" applyAlignment="1" applyProtection="1">
      <alignment horizontal="left" vertical="center"/>
    </xf>
    <xf numFmtId="164" fontId="7" fillId="0" borderId="8" xfId="5" applyFont="1" applyFill="1" applyBorder="1" applyAlignment="1" applyProtection="1">
      <alignment horizontal="left" vertical="center"/>
    </xf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67" fontId="7" fillId="0" borderId="8" xfId="5" applyNumberFormat="1" applyFont="1" applyFill="1" applyBorder="1" applyAlignment="1" applyProtection="1">
      <alignment horizontal="left" vertical="center"/>
    </xf>
    <xf numFmtId="0" fontId="10" fillId="12" borderId="1" xfId="0" applyFont="1" applyFill="1" applyBorder="1"/>
    <xf numFmtId="0" fontId="0" fillId="13" borderId="1" xfId="0" applyFill="1" applyBorder="1"/>
    <xf numFmtId="49" fontId="0" fillId="13" borderId="1" xfId="0" applyNumberFormat="1" applyFill="1" applyBorder="1"/>
    <xf numFmtId="14" fontId="0" fillId="13" borderId="1" xfId="0" applyNumberFormat="1" applyFill="1" applyBorder="1"/>
    <xf numFmtId="165" fontId="7" fillId="0" borderId="8" xfId="5" applyNumberFormat="1" applyFont="1" applyFill="1" applyBorder="1" applyAlignment="1">
      <alignment horizontal="left" vertical="center"/>
    </xf>
    <xf numFmtId="164" fontId="7" fillId="0" borderId="8" xfId="5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3" fillId="3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5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2" borderId="8" xfId="0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15" borderId="0" xfId="0" applyFill="1"/>
    <xf numFmtId="0" fontId="0" fillId="5" borderId="21" xfId="0" applyFill="1" applyBorder="1"/>
    <xf numFmtId="0" fontId="0" fillId="5" borderId="24" xfId="0" applyFill="1" applyBorder="1"/>
    <xf numFmtId="49" fontId="0" fillId="0" borderId="0" xfId="0" applyNumberFormat="1" applyAlignment="1">
      <alignment horizontal="center" vertical="center"/>
    </xf>
    <xf numFmtId="0" fontId="10" fillId="8" borderId="25" xfId="0" applyFont="1" applyFill="1" applyBorder="1" applyAlignment="1">
      <alignment horizontal="left" vertical="center"/>
    </xf>
    <xf numFmtId="9" fontId="10" fillId="8" borderId="3" xfId="1" applyFont="1" applyFill="1" applyBorder="1" applyAlignment="1">
      <alignment horizontal="left" vertical="center"/>
    </xf>
    <xf numFmtId="0" fontId="0" fillId="13" borderId="9" xfId="0" applyFill="1" applyBorder="1"/>
    <xf numFmtId="49" fontId="0" fillId="13" borderId="9" xfId="0" applyNumberFormat="1" applyFill="1" applyBorder="1"/>
    <xf numFmtId="9" fontId="0" fillId="13" borderId="9" xfId="1" applyFont="1" applyFill="1" applyBorder="1"/>
    <xf numFmtId="0" fontId="0" fillId="13" borderId="9" xfId="0" applyFill="1" applyBorder="1" applyAlignment="1">
      <alignment horizontal="left" vertical="center"/>
    </xf>
    <xf numFmtId="49" fontId="0" fillId="13" borderId="9" xfId="0" applyNumberFormat="1" applyFill="1" applyBorder="1" applyAlignment="1">
      <alignment horizontal="left" vertical="center"/>
    </xf>
    <xf numFmtId="167" fontId="0" fillId="13" borderId="9" xfId="0" applyNumberFormat="1" applyFill="1" applyBorder="1" applyAlignment="1">
      <alignment horizontal="left" vertical="center"/>
    </xf>
    <xf numFmtId="167" fontId="7" fillId="0" borderId="8" xfId="5" applyNumberFormat="1" applyFont="1" applyFill="1" applyBorder="1" applyAlignment="1">
      <alignment horizontal="left" vertical="center"/>
    </xf>
    <xf numFmtId="0" fontId="0" fillId="3" borderId="8" xfId="0" applyFill="1" applyBorder="1"/>
    <xf numFmtId="0" fontId="0" fillId="3" borderId="8" xfId="0" applyFill="1" applyBorder="1" applyAlignment="1">
      <alignment horizontal="left"/>
    </xf>
    <xf numFmtId="0" fontId="0" fillId="3" borderId="9" xfId="0" applyFill="1" applyBorder="1" applyAlignment="1">
      <alignment horizontal="left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14" fillId="4" borderId="18" xfId="0" applyFont="1" applyFill="1" applyBorder="1" applyAlignment="1">
      <alignment horizontal="center" vertical="center"/>
    </xf>
    <xf numFmtId="0" fontId="14" fillId="4" borderId="19" xfId="0" applyFont="1" applyFill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left" vertical="center"/>
    </xf>
  </cellXfs>
  <cellStyles count="7">
    <cellStyle name="Milliers" xfId="5" builtinId="3"/>
    <cellStyle name="Milliers 2" xfId="4" xr:uid="{00000000-0005-0000-0000-000001000000}"/>
    <cellStyle name="Normal" xfId="0" builtinId="0"/>
    <cellStyle name="Normal 2" xfId="2" xr:uid="{00000000-0005-0000-0000-000003000000}"/>
    <cellStyle name="Pourcentage" xfId="1" builtinId="5"/>
    <cellStyle name="Pourcentage 2" xfId="3" xr:uid="{00000000-0005-0000-0000-000005000000}"/>
    <cellStyle name="Top Rule" xfId="6" xr:uid="{00000000-0005-0000-0000-000006000000}"/>
  </cellStyles>
  <dxfs count="53">
    <dxf>
      <fill>
        <patternFill patternType="solid">
          <fgColor indexed="64"/>
          <bgColor theme="7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#,##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m/d/yyyy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0\.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6" formatCode="0.0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right style="thin">
          <color theme="8" tint="0.39997558519241921"/>
        </right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DA63"/>
      <color rgb="FF29C7FF"/>
      <color rgb="FFFFFF29"/>
      <color rgb="FF69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95250</xdr:rowOff>
        </xdr:from>
        <xdr:to>
          <xdr:col>3</xdr:col>
          <xdr:colOff>590550</xdr:colOff>
          <xdr:row>8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Suivi de rendement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6</xdr:row>
          <xdr:rowOff>95250</xdr:rowOff>
        </xdr:from>
        <xdr:to>
          <xdr:col>9</xdr:col>
          <xdr:colOff>9525</xdr:colOff>
          <xdr:row>8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Suivi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17</xdr:row>
          <xdr:rowOff>38100</xdr:rowOff>
        </xdr:from>
        <xdr:to>
          <xdr:col>15</xdr:col>
          <xdr:colOff>161925</xdr:colOff>
          <xdr:row>21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Y5" totalsRowShown="0" headerRowDxfId="52" tableBorderDxfId="51">
  <tableColumns count="25">
    <tableColumn id="1" xr3:uid="{00000000-0010-0000-0000-000001000000}" name="No">
      <calculatedColumnFormula>ROW()-1</calculatedColumnFormula>
    </tableColumn>
    <tableColumn id="2" xr3:uid="{00000000-0010-0000-0000-000002000000}" name="Nom de la société"/>
    <tableColumn id="3" xr3:uid="{00000000-0010-0000-0000-000003000000}" name="Opérateur"/>
    <tableColumn id="4" xr3:uid="{00000000-0010-0000-0000-000004000000}" name="ON-OFF"/>
    <tableColumn id="5" xr3:uid="{00000000-0010-0000-0000-000005000000}" name="Configuration"/>
    <tableColumn id="6" xr3:uid="{00000000-0010-0000-0000-000006000000}" name="Imm/N°parc"/>
    <tableColumn id="7" xr3:uid="{00000000-0010-0000-0000-000007000000}" name="Dimension"/>
    <tableColumn id="8" xr3:uid="{00000000-0010-0000-0000-000008000000}" name="Marque"/>
    <tableColumn id="9" xr3:uid="{00000000-0010-0000-0000-000009000000}" name="Profil"/>
    <tableColumn id="10" xr3:uid="{00000000-0010-0000-0000-00000A000000}" name="N° Série"/>
    <tableColumn id="11" xr3:uid="{00000000-0010-0000-0000-00000B000000}" name="Date de montage"/>
    <tableColumn id="12" xr3:uid="{00000000-0010-0000-0000-00000C000000}" name="Date d'inspection"/>
    <tableColumn id="13" xr3:uid="{00000000-0010-0000-0000-00000D000000}" name="Position"/>
    <tableColumn id="14" xr3:uid="{00000000-0010-0000-0000-00000E000000}" name="OTD" dataDxfId="50">
      <calculatedColumnFormula>IFERROR(VLOOKUP(Table1[[#This Row],[Dimension]]&amp;Table1[[#This Row],[Profil]],'Profondeur '!$D:$E,2,0),"")</calculatedColumnFormula>
    </tableColumn>
    <tableColumn id="15" xr3:uid="{00000000-0010-0000-0000-00000F000000}" name="RTD"/>
    <tableColumn id="16" xr3:uid="{00000000-0010-0000-0000-000010000000}" name="Km de montage"/>
    <tableColumn id="17" xr3:uid="{00000000-0010-0000-0000-000011000000}" name="Km Inspection"/>
    <tableColumn id="18" xr3:uid="{00000000-0010-0000-0000-000012000000}" name="Km" dataDxfId="49">
      <calculatedColumnFormula>IFERROR(Table1[[#This Row],[Km Inspection]]-Table1[[#This Row],[Km de montage]],"")</calculatedColumnFormula>
    </tableColumn>
    <tableColumn id="19" xr3:uid="{00000000-0010-0000-0000-000013000000}" name="KPM" dataDxfId="48">
      <calculatedColumnFormula>IFERROR(IF(Table1[[#This Row],[Status]]="Removed","",Table1[[#This Row],[Km]]/(Table1[[#This Row],[OTD]]-Table1[[#This Row],[RTD]])),"")</calculatedColumnFormula>
    </tableColumn>
    <tableColumn id="20" xr3:uid="{00000000-0010-0000-0000-000014000000}" name="Projection" dataDxfId="47">
      <calculatedColumnFormula>IFERROR(IF(Table1[[#This Row],[Status]]="Removed",Table1[[#This Row],[Km]],Table1[[#This Row],[KPM]]*(Table1[[#This Row],[OTD]]-3.6)),"")</calculatedColumnFormula>
    </tableColumn>
    <tableColumn id="21" xr3:uid="{00000000-0010-0000-0000-000015000000}" name="Progrès/km" dataDxfId="46">
      <calculatedColumnFormula>IFERROR(Table1[[#This Row],[Km]]/Table1[[#This Row],[Projection]],"")</calculatedColumnFormula>
    </tableColumn>
    <tableColumn id="22" xr3:uid="{00000000-0010-0000-0000-000016000000}" name="Status"/>
    <tableColumn id="23" xr3:uid="{00000000-0010-0000-0000-000017000000}" name="Reliable"/>
    <tableColumn id="24" xr3:uid="{00000000-0010-0000-0000-000018000000}" name="Progrès/prf" dataDxfId="45">
      <calculatedColumnFormula>IFERROR(1-(Table1[[#This Row],[RTD]]/Table1[[#This Row],[OTD]]),"")</calculatedColumnFormula>
    </tableColumn>
    <tableColumn id="25" xr3:uid="{00000000-0010-0000-0000-000019000000}" name="ENG" dataDxfId="44">
      <calculatedColumnFormula>IFERROR(VLOOKUP(Table1[[#This Row],[Position]],Status!$B$1:$C$3,2,0),"")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:AF4" totalsRowShown="0" headerRowDxfId="43" dataDxfId="41" headerRowBorderDxfId="42" tableBorderDxfId="40" totalsRowBorderDxfId="39">
  <tableColumns count="32">
    <tableColumn id="1" xr3:uid="{00000000-0010-0000-0100-000001000000}" name="NO" dataDxfId="38">
      <calculatedColumnFormula>ROW()-1</calculatedColumnFormula>
    </tableColumn>
    <tableColumn id="2" xr3:uid="{00000000-0010-0000-0100-000002000000}" name="Nom de la société" dataDxfId="37"/>
    <tableColumn id="3" xr3:uid="{00000000-0010-0000-0100-000003000000}" name="Ville" dataDxfId="36"/>
    <tableColumn id="4" xr3:uid="{00000000-0010-0000-0100-000004000000}" name="Utilisation" dataDxfId="35"/>
    <tableColumn id="5" xr3:uid="{00000000-0010-0000-0100-000005000000}" name="Marque" dataDxfId="34"/>
    <tableColumn id="6" xr3:uid="{00000000-0010-0000-0100-000006000000}" name="Imm/N°parc" dataDxfId="33"/>
    <tableColumn id="8" xr3:uid="{00000000-0010-0000-0100-000008000000}" name="Profil" dataDxfId="32"/>
    <tableColumn id="9" xr3:uid="{00000000-0010-0000-0100-000009000000}" name="Dimension" dataDxfId="31"/>
    <tableColumn id="10" xr3:uid="{00000000-0010-0000-0100-00000A000000}" name="N° Série" dataDxfId="30"/>
    <tableColumn id="11" xr3:uid="{00000000-0010-0000-0100-00000B000000}" name="Profondeur de départ 1" dataDxfId="29">
      <calculatedColumnFormula>VLOOKUP(Table2[[#This Row],[Dimension]]&amp;Table2[[#This Row],[Profil]],'Profondeur '!$D:$E,2,0)</calculatedColumnFormula>
    </tableColumn>
    <tableColumn id="12" xr3:uid="{00000000-0010-0000-0100-00000C000000}" name="Profondeur de départ 2" dataDxfId="28">
      <calculatedColumnFormula>Table2[[#This Row],[Profondeur de départ 1]]</calculatedColumnFormula>
    </tableColumn>
    <tableColumn id="13" xr3:uid="{00000000-0010-0000-0100-00000D000000}" name="Profondeur de départ 3" dataDxfId="27">
      <calculatedColumnFormula>Table2[[#This Row],[Profondeur de départ 1]]</calculatedColumnFormula>
    </tableColumn>
    <tableColumn id="14" xr3:uid="{00000000-0010-0000-0100-00000E000000}" name="Profondeur de départ 4" dataDxfId="26">
      <calculatedColumnFormula>Table2[[#This Row],[Profondeur de départ 1]]</calculatedColumnFormula>
    </tableColumn>
    <tableColumn id="15" xr3:uid="{00000000-0010-0000-0100-00000F000000}" name="Date de montage" dataDxfId="25"/>
    <tableColumn id="16" xr3:uid="{00000000-0010-0000-0100-000010000000}" name="Position" dataDxfId="24"/>
    <tableColumn id="17" xr3:uid="{00000000-0010-0000-0100-000011000000}" name="Compteur kilométrique -_x000a_Départ" dataDxfId="23"/>
    <tableColumn id="18" xr3:uid="{00000000-0010-0000-0100-000012000000}" name="Date de contrôle " dataDxfId="22"/>
    <tableColumn id="19" xr3:uid="{00000000-0010-0000-0100-000013000000}" name="Compteur kilométrique -_x000a_Actuel" dataDxfId="21"/>
    <tableColumn id="20" xr3:uid="{00000000-0010-0000-0100-000014000000}" name="Rendement Fait" dataDxfId="20">
      <calculatedColumnFormula>Table2[[#This Row],[Compteur kilométrique -
Actuel]]-Table2[[#This Row],[Compteur kilométrique -
Départ]]</calculatedColumnFormula>
    </tableColumn>
    <tableColumn id="21" xr3:uid="{00000000-0010-0000-0100-000015000000}" name="Profondeur restante 1 " dataDxfId="19"/>
    <tableColumn id="22" xr3:uid="{00000000-0010-0000-0100-000016000000}" name="Profondeur restante2" dataDxfId="18"/>
    <tableColumn id="23" xr3:uid="{00000000-0010-0000-0100-000017000000}" name="Profondeur restante3" dataDxfId="17"/>
    <tableColumn id="24" xr3:uid="{00000000-0010-0000-0100-000018000000}" name="Profondeur restante4" dataDxfId="16"/>
    <tableColumn id="25" xr3:uid="{00000000-0010-0000-0100-000019000000}" name="Observation" dataDxfId="15"/>
    <tableColumn id="26" xr3:uid="{00000000-0010-0000-0100-00001A000000}" name="Date de démontage" dataDxfId="14"/>
    <tableColumn id="7" xr3:uid="{00000000-0010-0000-0100-000007000000}" name="Compteur kilométrique -_x000a_Final" dataDxfId="13"/>
    <tableColumn id="27" xr3:uid="{00000000-0010-0000-0100-00001B000000}" name="Rendement final" dataDxfId="12">
      <calculatedColumnFormula>Table2[[#This Row],[Compteur kilométrique -
Final]]-Table2[[#This Row],[Compteur kilométrique -
Départ]]</calculatedColumnFormula>
    </tableColumn>
    <tableColumn id="28" xr3:uid="{00000000-0010-0000-0100-00001C000000}" name="Profondeur Finale 1" dataDxfId="11"/>
    <tableColumn id="29" xr3:uid="{00000000-0010-0000-0100-00001D000000}" name="Profondeur Finae 2" dataDxfId="10"/>
    <tableColumn id="30" xr3:uid="{00000000-0010-0000-0100-00001E000000}" name="Profondeur Finale3" dataDxfId="9"/>
    <tableColumn id="31" xr3:uid="{00000000-0010-0000-0100-00001F000000}" name="Profondeur Finale 4" dataDxfId="8"/>
    <tableColumn id="32" xr3:uid="{00000000-0010-0000-0100-000020000000}" name="Observation Fnale" dataDxfId="7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A1:E86" totalsRowShown="0" headerRowBorderDxfId="6" tableBorderDxfId="5" totalsRowBorderDxfId="4">
  <autoFilter ref="A1:E8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NO" dataDxfId="3">
      <calculatedColumnFormula>ROW()-1</calculatedColumnFormula>
    </tableColumn>
    <tableColumn id="2" xr3:uid="{00000000-0010-0000-0200-000002000000}" name="Dimension"/>
    <tableColumn id="3" xr3:uid="{00000000-0010-0000-0200-000003000000}" name="Profil" dataDxfId="2"/>
    <tableColumn id="4" xr3:uid="{00000000-0010-0000-0200-000004000000}" name="Dimension &amp; profil" dataDxfId="1">
      <calculatedColumnFormula>B2&amp;C2</calculatedColumnFormula>
    </tableColumn>
    <tableColumn id="5" xr3:uid="{00000000-0010-0000-0200-000005000000}" name="Profondeur [mm]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2:I10"/>
  <sheetViews>
    <sheetView tabSelected="1" workbookViewId="0">
      <selection activeCell="L12" sqref="L12"/>
    </sheetView>
  </sheetViews>
  <sheetFormatPr baseColWidth="10" defaultColWidth="9.140625" defaultRowHeight="15" x14ac:dyDescent="0.25"/>
  <cols>
    <col min="1" max="16384" width="9.140625" style="81"/>
  </cols>
  <sheetData>
    <row r="2" spans="2:9" ht="15.75" thickBot="1" x14ac:dyDescent="0.3"/>
    <row r="3" spans="2:9" x14ac:dyDescent="0.25">
      <c r="B3" s="97" t="s">
        <v>76</v>
      </c>
      <c r="C3" s="98"/>
      <c r="D3" s="98"/>
      <c r="E3" s="98"/>
      <c r="F3" s="98"/>
      <c r="G3" s="98"/>
      <c r="H3" s="98"/>
      <c r="I3" s="99"/>
    </row>
    <row r="4" spans="2:9" ht="15.75" thickBot="1" x14ac:dyDescent="0.3">
      <c r="B4" s="100"/>
      <c r="C4" s="101"/>
      <c r="D4" s="101"/>
      <c r="E4" s="101"/>
      <c r="F4" s="101"/>
      <c r="G4" s="101"/>
      <c r="H4" s="101"/>
      <c r="I4" s="102"/>
    </row>
    <row r="5" spans="2:9" ht="15.75" thickBot="1" x14ac:dyDescent="0.3">
      <c r="B5" s="83"/>
      <c r="C5" s="20"/>
      <c r="D5" s="20"/>
      <c r="E5" s="109"/>
      <c r="F5" s="109"/>
      <c r="G5" s="20"/>
      <c r="H5" s="20"/>
      <c r="I5" s="82"/>
    </row>
    <row r="6" spans="2:9" ht="15.75" thickBot="1" x14ac:dyDescent="0.3">
      <c r="B6" s="103" t="s">
        <v>125</v>
      </c>
      <c r="C6" s="104"/>
      <c r="D6" s="105"/>
      <c r="E6" s="110"/>
      <c r="F6" s="110"/>
      <c r="G6" s="103" t="s">
        <v>126</v>
      </c>
      <c r="H6" s="104"/>
      <c r="I6" s="105"/>
    </row>
    <row r="7" spans="2:9" x14ac:dyDescent="0.25">
      <c r="B7" s="20"/>
      <c r="C7" s="20"/>
      <c r="D7" s="20"/>
      <c r="E7" s="110"/>
      <c r="F7" s="110"/>
      <c r="G7" s="20"/>
      <c r="H7" s="20"/>
      <c r="I7" s="20"/>
    </row>
    <row r="8" spans="2:9" x14ac:dyDescent="0.25">
      <c r="B8" s="20"/>
      <c r="C8" s="20"/>
      <c r="D8" s="20"/>
      <c r="E8" s="110"/>
      <c r="F8" s="110"/>
      <c r="G8" s="20"/>
      <c r="H8" s="20"/>
      <c r="I8" s="20"/>
    </row>
    <row r="9" spans="2:9" x14ac:dyDescent="0.25">
      <c r="B9" s="20"/>
      <c r="C9" s="20"/>
      <c r="D9" s="20"/>
      <c r="E9" s="110"/>
      <c r="F9" s="110"/>
      <c r="G9" s="20"/>
      <c r="H9" s="20"/>
      <c r="I9" s="20"/>
    </row>
    <row r="10" spans="2:9" ht="15.75" thickBot="1" x14ac:dyDescent="0.3">
      <c r="B10" s="106"/>
      <c r="C10" s="107"/>
      <c r="D10" s="107"/>
      <c r="E10" s="107"/>
      <c r="F10" s="107"/>
      <c r="G10" s="107"/>
      <c r="H10" s="107"/>
      <c r="I10" s="108"/>
    </row>
  </sheetData>
  <sheetProtection sheet="1" objects="1" scenarios="1" selectLockedCells="1"/>
  <mergeCells count="5">
    <mergeCell ref="B3:I4"/>
    <mergeCell ref="B6:D6"/>
    <mergeCell ref="G6:I6"/>
    <mergeCell ref="B10:I10"/>
    <mergeCell ref="E5:F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tnsuiviren">
                <anchor moveWithCells="1" sizeWithCells="1">
                  <from>
                    <xdr:col>1</xdr:col>
                    <xdr:colOff>19050</xdr:colOff>
                    <xdr:row>6</xdr:row>
                    <xdr:rowOff>95250</xdr:rowOff>
                  </from>
                  <to>
                    <xdr:col>3</xdr:col>
                    <xdr:colOff>590550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tnsuivitest">
                <anchor moveWithCells="1" sizeWithCells="1">
                  <from>
                    <xdr:col>5</xdr:col>
                    <xdr:colOff>600075</xdr:colOff>
                    <xdr:row>6</xdr:row>
                    <xdr:rowOff>95250</xdr:rowOff>
                  </from>
                  <to>
                    <xdr:col>9</xdr:col>
                    <xdr:colOff>9525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Y21"/>
  <sheetViews>
    <sheetView zoomScale="70" zoomScaleNormal="70" workbookViewId="0">
      <selection activeCell="A2" sqref="A2"/>
    </sheetView>
  </sheetViews>
  <sheetFormatPr baseColWidth="10" defaultColWidth="9" defaultRowHeight="15" x14ac:dyDescent="0.25"/>
  <cols>
    <col min="1" max="1" width="9.140625" style="25"/>
    <col min="2" max="2" width="25.7109375" style="25" customWidth="1"/>
    <col min="3" max="3" width="22" style="25" bestFit="1" customWidth="1"/>
    <col min="4" max="4" width="20.140625" style="27" bestFit="1" customWidth="1"/>
    <col min="5" max="5" width="21.85546875" style="25" customWidth="1"/>
    <col min="6" max="6" width="18.5703125" style="25" customWidth="1"/>
    <col min="7" max="7" width="20" style="25" bestFit="1" customWidth="1"/>
    <col min="8" max="8" width="16.7109375" style="25" bestFit="1" customWidth="1"/>
    <col min="9" max="9" width="14.28515625" style="25" bestFit="1" customWidth="1"/>
    <col min="10" max="10" width="17.140625" style="25" bestFit="1" customWidth="1"/>
    <col min="11" max="11" width="27.7109375" style="30" bestFit="1" customWidth="1"/>
    <col min="12" max="12" width="28.5703125" style="30" bestFit="1" customWidth="1"/>
    <col min="13" max="13" width="17.42578125" style="25" bestFit="1" customWidth="1"/>
    <col min="14" max="14" width="13.140625" style="25" bestFit="1" customWidth="1"/>
    <col min="15" max="15" width="13" style="25" bestFit="1" customWidth="1"/>
    <col min="16" max="16" width="25.85546875" style="25" bestFit="1" customWidth="1"/>
    <col min="17" max="17" width="24.42578125" style="25" bestFit="1" customWidth="1"/>
    <col min="18" max="18" width="11.7109375" style="25" bestFit="1" customWidth="1"/>
    <col min="19" max="19" width="13.42578125" style="25" bestFit="1" customWidth="1"/>
    <col min="20" max="20" width="20" style="32" bestFit="1" customWidth="1"/>
    <col min="21" max="21" width="20.7109375" style="33" bestFit="1" customWidth="1"/>
    <col min="22" max="22" width="15.7109375" style="25" bestFit="1" customWidth="1"/>
    <col min="23" max="23" width="17.42578125" style="25" bestFit="1" customWidth="1"/>
    <col min="24" max="24" width="20.7109375" style="33" bestFit="1" customWidth="1"/>
    <col min="25" max="25" width="13.140625" style="25" bestFit="1" customWidth="1"/>
  </cols>
  <sheetData>
    <row r="1" spans="1:25" x14ac:dyDescent="0.25">
      <c r="A1" s="85" t="s">
        <v>80</v>
      </c>
      <c r="B1" s="34" t="s">
        <v>0</v>
      </c>
      <c r="C1" s="24" t="s">
        <v>1</v>
      </c>
      <c r="D1" s="31" t="s">
        <v>2</v>
      </c>
      <c r="E1" s="24" t="s">
        <v>3</v>
      </c>
      <c r="F1" s="24" t="s">
        <v>4</v>
      </c>
      <c r="G1" s="24" t="s">
        <v>5</v>
      </c>
      <c r="H1" s="24" t="s">
        <v>6</v>
      </c>
      <c r="I1" s="24" t="s">
        <v>7</v>
      </c>
      <c r="J1" s="24" t="s">
        <v>8</v>
      </c>
      <c r="K1" s="29" t="s">
        <v>9</v>
      </c>
      <c r="L1" s="29" t="s">
        <v>75</v>
      </c>
      <c r="M1" s="24" t="s">
        <v>10</v>
      </c>
      <c r="N1" s="24" t="s">
        <v>11</v>
      </c>
      <c r="O1" s="24" t="s">
        <v>12</v>
      </c>
      <c r="P1" s="24" t="s">
        <v>13</v>
      </c>
      <c r="Q1" s="24" t="s">
        <v>14</v>
      </c>
      <c r="R1" s="24" t="s">
        <v>15</v>
      </c>
      <c r="S1" s="24" t="s">
        <v>16</v>
      </c>
      <c r="T1" s="35" t="s">
        <v>17</v>
      </c>
      <c r="U1" s="86" t="s">
        <v>18</v>
      </c>
      <c r="V1" s="24" t="s">
        <v>19</v>
      </c>
      <c r="W1" s="24" t="s">
        <v>20</v>
      </c>
      <c r="X1" s="86" t="s">
        <v>21</v>
      </c>
      <c r="Y1" s="24" t="s">
        <v>22</v>
      </c>
    </row>
    <row r="2" spans="1:25" x14ac:dyDescent="0.25">
      <c r="A2" s="87">
        <f>ROW()-1</f>
        <v>1</v>
      </c>
      <c r="B2" s="87" t="s">
        <v>120</v>
      </c>
      <c r="C2" s="87" t="s">
        <v>81</v>
      </c>
      <c r="D2" s="88" t="s">
        <v>82</v>
      </c>
      <c r="E2" s="87" t="s">
        <v>115</v>
      </c>
      <c r="F2" s="87" t="s">
        <v>83</v>
      </c>
      <c r="G2" s="87" t="s">
        <v>37</v>
      </c>
      <c r="H2" s="87" t="s">
        <v>139</v>
      </c>
      <c r="I2" s="87" t="s">
        <v>44</v>
      </c>
      <c r="J2" s="87" t="s">
        <v>84</v>
      </c>
      <c r="K2" s="87" t="s">
        <v>85</v>
      </c>
      <c r="L2" s="87" t="s">
        <v>86</v>
      </c>
      <c r="M2" s="87" t="s">
        <v>127</v>
      </c>
      <c r="N2" s="87" t="str">
        <f>IFERROR(VLOOKUP(Table1[[#This Row],[Dimension]]&amp;Table1[[#This Row],[Profil]],'Profondeur '!$D:$E,2,0),"")</f>
        <v/>
      </c>
      <c r="O2" s="87" t="s">
        <v>87</v>
      </c>
      <c r="P2" s="87">
        <v>120000</v>
      </c>
      <c r="Q2" s="87">
        <v>130000</v>
      </c>
      <c r="R2" s="87">
        <f>IFERROR(Table1[[#This Row],[Km Inspection]]-Table1[[#This Row],[Km de montage]],"")</f>
        <v>10000</v>
      </c>
      <c r="S2" s="87" t="str">
        <f>IFERROR(IF(Table1[[#This Row],[Status]]="Removed","",Table1[[#This Row],[Km]]/(Table1[[#This Row],[OTD]]-Table1[[#This Row],[RTD]])),"")</f>
        <v/>
      </c>
      <c r="T2" s="87" t="str">
        <f>IFERROR(IF(Table1[[#This Row],[Status]]="Removed",Table1[[#This Row],[Km]],Table1[[#This Row],[KPM]]*(Table1[[#This Row],[OTD]]-3.6)),"")</f>
        <v/>
      </c>
      <c r="U2" s="89" t="str">
        <f>IFERROR(Table1[[#This Row],[Km]]/Table1[[#This Row],[Projection]],"")</f>
        <v/>
      </c>
      <c r="V2" s="87" t="s">
        <v>23</v>
      </c>
      <c r="W2" s="87" t="s">
        <v>88</v>
      </c>
      <c r="X2" s="89" t="str">
        <f>IFERROR(1-(Table1[[#This Row],[RTD]]/Table1[[#This Row],[OTD]]),"")</f>
        <v/>
      </c>
      <c r="Y2" s="87" t="str">
        <f>IFERROR(VLOOKUP(Table1[[#This Row],[Position]],Status!$B$1:$C$3,2,0),"")</f>
        <v>STEER</v>
      </c>
    </row>
    <row r="3" spans="1:25" x14ac:dyDescent="0.25">
      <c r="A3" s="90">
        <f>ROW()-1</f>
        <v>2</v>
      </c>
      <c r="B3" s="90" t="s">
        <v>130</v>
      </c>
      <c r="C3" s="90" t="s">
        <v>130</v>
      </c>
      <c r="D3" s="91" t="s">
        <v>130</v>
      </c>
      <c r="E3" s="90" t="s">
        <v>130</v>
      </c>
      <c r="F3" s="90" t="s">
        <v>130</v>
      </c>
      <c r="G3" s="90" t="s">
        <v>130</v>
      </c>
      <c r="H3" s="90" t="s">
        <v>130</v>
      </c>
      <c r="I3" s="90" t="s">
        <v>130</v>
      </c>
      <c r="J3" s="90" t="s">
        <v>130</v>
      </c>
      <c r="K3" s="92" t="s">
        <v>130</v>
      </c>
      <c r="L3" s="92" t="s">
        <v>130</v>
      </c>
      <c r="M3" s="90" t="s">
        <v>128</v>
      </c>
      <c r="N3" s="87" t="str">
        <f>IFERROR(VLOOKUP(Table1[[#This Row],[Dimension]]&amp;Table1[[#This Row],[Profil]],'Profondeur '!$D:$E,2,0),"")</f>
        <v/>
      </c>
      <c r="O3" s="90" t="s">
        <v>130</v>
      </c>
      <c r="P3" s="90" t="s">
        <v>130</v>
      </c>
      <c r="Q3" s="90" t="s">
        <v>130</v>
      </c>
      <c r="R3" s="87" t="str">
        <f>IFERROR(Table1[[#This Row],[Km Inspection]]-Table1[[#This Row],[Km de montage]],"")</f>
        <v/>
      </c>
      <c r="S3" s="87" t="str">
        <f>IFERROR(IF(Table1[[#This Row],[Status]]="Removed","",Table1[[#This Row],[Km]]/(Table1[[#This Row],[OTD]]-Table1[[#This Row],[RTD]])),"")</f>
        <v/>
      </c>
      <c r="T3" s="87" t="str">
        <f>IFERROR(IF(Table1[[#This Row],[Status]]="Removed",Table1[[#This Row],[Km]],Table1[[#This Row],[KPM]]*(Table1[[#This Row],[OTD]]-3.6)),"")</f>
        <v/>
      </c>
      <c r="U3" s="89" t="str">
        <f>IFERROR(Table1[[#This Row],[Km]]/Table1[[#This Row],[Projection]],"")</f>
        <v/>
      </c>
      <c r="V3" s="90" t="s">
        <v>23</v>
      </c>
      <c r="W3" s="90" t="s">
        <v>130</v>
      </c>
      <c r="X3" s="89" t="str">
        <f>IFERROR(1-(Table1[[#This Row],[RTD]]/Table1[[#This Row],[OTD]]),"")</f>
        <v/>
      </c>
      <c r="Y3" s="87" t="str">
        <f>IFERROR(VLOOKUP(Table1[[#This Row],[Position]],Status!$B$1:$C$3,2,0),"")</f>
        <v>DRIVE</v>
      </c>
    </row>
    <row r="4" spans="1:25" x14ac:dyDescent="0.25">
      <c r="A4" s="25">
        <f>ROW()-1</f>
        <v>3</v>
      </c>
      <c r="F4" s="25" t="s">
        <v>131</v>
      </c>
      <c r="G4" s="25" t="s">
        <v>131</v>
      </c>
      <c r="H4" s="25" t="s">
        <v>132</v>
      </c>
      <c r="J4" s="25" t="s">
        <v>133</v>
      </c>
      <c r="N4" s="25" t="str">
        <f>IFERROR(VLOOKUP(Table1[[#This Row],[Dimension]]&amp;Table1[[#This Row],[Profil]],'Profondeur '!$D:$E,2,0),"")</f>
        <v/>
      </c>
      <c r="R4" s="25">
        <f>IFERROR(Table1[[#This Row],[Km Inspection]]-Table1[[#This Row],[Km de montage]],"")</f>
        <v>0</v>
      </c>
      <c r="S4" s="25" t="str">
        <f>IFERROR(IF(Table1[[#This Row],[Status]]="Removed","",Table1[[#This Row],[Km]]/(Table1[[#This Row],[OTD]]-Table1[[#This Row],[RTD]])),"")</f>
        <v/>
      </c>
      <c r="T4" s="25" t="str">
        <f>IFERROR(IF(Table1[[#This Row],[Status]]="Removed",Table1[[#This Row],[Km]],Table1[[#This Row],[KPM]]*(Table1[[#This Row],[OTD]]-3.6)),"")</f>
        <v/>
      </c>
      <c r="U4" s="33" t="str">
        <f>IFERROR(Table1[[#This Row],[Km]]/Table1[[#This Row],[Projection]],"")</f>
        <v/>
      </c>
      <c r="X4" s="33" t="str">
        <f>IFERROR(1-(Table1[[#This Row],[RTD]]/Table1[[#This Row],[OTD]]),"")</f>
        <v/>
      </c>
      <c r="Y4" s="25" t="str">
        <f>IFERROR(VLOOKUP(Table1[[#This Row],[Position]],Status!$B$1:$C$3,2,0),"")</f>
        <v/>
      </c>
    </row>
    <row r="5" spans="1:25" x14ac:dyDescent="0.25">
      <c r="A5" s="25">
        <f>ROW()-1</f>
        <v>4</v>
      </c>
      <c r="F5" s="25" t="s">
        <v>135</v>
      </c>
      <c r="G5" s="25" t="s">
        <v>49</v>
      </c>
      <c r="H5" s="25" t="s">
        <v>136</v>
      </c>
      <c r="I5" s="25" t="s">
        <v>134</v>
      </c>
      <c r="J5" s="25" t="s">
        <v>138</v>
      </c>
      <c r="N5" s="25">
        <f>IFERROR(VLOOKUP(Table1[[#This Row],[Dimension]]&amp;Table1[[#This Row],[Profil]],'Profondeur '!$D:$E,2,0),"")</f>
        <v>16</v>
      </c>
      <c r="R5" s="25">
        <f>IFERROR(Table1[[#This Row],[Km Inspection]]-Table1[[#This Row],[Km de montage]],"")</f>
        <v>0</v>
      </c>
      <c r="S5" s="25">
        <f>IFERROR(IF(Table1[[#This Row],[Status]]="Removed","",Table1[[#This Row],[Km]]/(Table1[[#This Row],[OTD]]-Table1[[#This Row],[RTD]])),"")</f>
        <v>0</v>
      </c>
      <c r="T5" s="25">
        <f>IFERROR(IF(Table1[[#This Row],[Status]]="Removed",Table1[[#This Row],[Km]],Table1[[#This Row],[KPM]]*(Table1[[#This Row],[OTD]]-3.6)),"")</f>
        <v>0</v>
      </c>
      <c r="U5" s="33" t="str">
        <f>IFERROR(Table1[[#This Row],[Km]]/Table1[[#This Row],[Projection]],"")</f>
        <v/>
      </c>
      <c r="X5" s="33">
        <f>IFERROR(1-(Table1[[#This Row],[RTD]]/Table1[[#This Row],[OTD]]),"")</f>
        <v>1</v>
      </c>
      <c r="Y5" s="25" t="str">
        <f>IFERROR(VLOOKUP(Table1[[#This Row],[Position]],Status!$B$1:$C$3,2,0),"")</f>
        <v/>
      </c>
    </row>
    <row r="21" spans="4:4" x14ac:dyDescent="0.25">
      <c r="D21" s="8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F4"/>
  <sheetViews>
    <sheetView zoomScale="70" zoomScaleNormal="70" workbookViewId="0">
      <selection activeCell="K17" sqref="K17"/>
    </sheetView>
  </sheetViews>
  <sheetFormatPr baseColWidth="10" defaultColWidth="9" defaultRowHeight="15" x14ac:dyDescent="0.25"/>
  <cols>
    <col min="1" max="1" width="9.140625" style="25"/>
    <col min="2" max="2" width="20.7109375" style="27" customWidth="1"/>
    <col min="3" max="3" width="11.85546875" style="27" customWidth="1"/>
    <col min="4" max="4" width="13.28515625" style="25" customWidth="1"/>
    <col min="5" max="5" width="11.140625" style="25" customWidth="1"/>
    <col min="6" max="6" width="15.28515625" style="27" customWidth="1"/>
    <col min="7" max="7" width="8.5703125" style="25" bestFit="1" customWidth="1"/>
    <col min="8" max="8" width="14.28515625" style="25" bestFit="1" customWidth="1"/>
    <col min="9" max="9" width="10.85546875" style="27" customWidth="1"/>
    <col min="10" max="10" width="24.5703125" style="25" bestFit="1" customWidth="1"/>
    <col min="11" max="13" width="26.42578125" style="25" bestFit="1" customWidth="1"/>
    <col min="14" max="14" width="20.28515625" style="30" customWidth="1"/>
    <col min="15" max="15" width="11.28515625" style="25" customWidth="1"/>
    <col min="16" max="16" width="32.5703125" style="25" bestFit="1" customWidth="1"/>
    <col min="17" max="17" width="20.28515625" style="30" customWidth="1"/>
    <col min="18" max="18" width="32.42578125" style="25" bestFit="1" customWidth="1"/>
    <col min="19" max="19" width="18.85546875" style="25" customWidth="1"/>
    <col min="20" max="20" width="23.5703125" style="25" customWidth="1"/>
    <col min="21" max="23" width="25.28515625" style="25" bestFit="1" customWidth="1"/>
    <col min="24" max="24" width="15.42578125" style="25" customWidth="1"/>
    <col min="25" max="25" width="22.85546875" style="30" customWidth="1"/>
    <col min="26" max="26" width="30.42578125" style="30" bestFit="1" customWidth="1"/>
    <col min="27" max="27" width="19.42578125" style="25" customWidth="1"/>
    <col min="28" max="28" width="24.7109375" style="25" customWidth="1"/>
    <col min="29" max="31" width="24.28515625" style="25" bestFit="1" customWidth="1"/>
    <col min="32" max="32" width="19.42578125" style="25" bestFit="1" customWidth="1"/>
  </cols>
  <sheetData>
    <row r="1" spans="1:32" ht="15.75" x14ac:dyDescent="0.25">
      <c r="A1" s="42" t="s">
        <v>98</v>
      </c>
      <c r="B1" s="43" t="s">
        <v>0</v>
      </c>
      <c r="C1" s="43" t="s">
        <v>89</v>
      </c>
      <c r="D1" s="44" t="s">
        <v>90</v>
      </c>
      <c r="E1" s="45" t="s">
        <v>6</v>
      </c>
      <c r="F1" s="43" t="s">
        <v>4</v>
      </c>
      <c r="G1" s="44" t="s">
        <v>7</v>
      </c>
      <c r="H1" s="44" t="s">
        <v>5</v>
      </c>
      <c r="I1" s="26" t="s">
        <v>8</v>
      </c>
      <c r="J1" s="46" t="s">
        <v>99</v>
      </c>
      <c r="K1" s="46" t="s">
        <v>100</v>
      </c>
      <c r="L1" s="46" t="s">
        <v>101</v>
      </c>
      <c r="M1" s="46" t="s">
        <v>102</v>
      </c>
      <c r="N1" s="47" t="s">
        <v>9</v>
      </c>
      <c r="O1" s="45" t="s">
        <v>10</v>
      </c>
      <c r="P1" s="48" t="s">
        <v>91</v>
      </c>
      <c r="Q1" s="49" t="s">
        <v>92</v>
      </c>
      <c r="R1" s="44" t="s">
        <v>93</v>
      </c>
      <c r="S1" s="44" t="s">
        <v>94</v>
      </c>
      <c r="T1" s="46" t="s">
        <v>111</v>
      </c>
      <c r="U1" s="46" t="s">
        <v>103</v>
      </c>
      <c r="V1" s="46" t="s">
        <v>104</v>
      </c>
      <c r="W1" s="46" t="s">
        <v>105</v>
      </c>
      <c r="X1" s="44" t="s">
        <v>95</v>
      </c>
      <c r="Y1" s="50" t="s">
        <v>96</v>
      </c>
      <c r="Z1" s="50" t="s">
        <v>112</v>
      </c>
      <c r="AA1" s="51" t="s">
        <v>97</v>
      </c>
      <c r="AB1" s="52" t="s">
        <v>106</v>
      </c>
      <c r="AC1" s="52" t="s">
        <v>107</v>
      </c>
      <c r="AD1" s="52" t="s">
        <v>108</v>
      </c>
      <c r="AE1" s="52" t="s">
        <v>109</v>
      </c>
      <c r="AF1" s="52" t="s">
        <v>110</v>
      </c>
    </row>
    <row r="2" spans="1:32" ht="15.75" x14ac:dyDescent="0.25">
      <c r="A2" s="41">
        <f>ROW()-1</f>
        <v>1</v>
      </c>
      <c r="B2" s="23" t="s">
        <v>114</v>
      </c>
      <c r="C2" s="23" t="s">
        <v>113</v>
      </c>
      <c r="D2" s="22" t="s">
        <v>113</v>
      </c>
      <c r="E2" s="22" t="s">
        <v>113</v>
      </c>
      <c r="F2" s="23" t="s">
        <v>113</v>
      </c>
      <c r="G2" s="22" t="s">
        <v>39</v>
      </c>
      <c r="H2" s="25" t="s">
        <v>38</v>
      </c>
      <c r="I2" s="23" t="s">
        <v>113</v>
      </c>
      <c r="J2" s="36">
        <f>VLOOKUP(Table2[[#This Row],[Dimension]]&amp;Table2[[#This Row],[Profil]],'Profondeur '!$D:$E,2,0)</f>
        <v>15</v>
      </c>
      <c r="K2" s="36">
        <v>15</v>
      </c>
      <c r="L2" s="36">
        <v>15</v>
      </c>
      <c r="M2" s="36">
        <v>15</v>
      </c>
      <c r="N2" s="37" t="s">
        <v>113</v>
      </c>
      <c r="O2" s="22" t="s">
        <v>113</v>
      </c>
      <c r="P2" s="53" t="s">
        <v>113</v>
      </c>
      <c r="Q2" s="54" t="s">
        <v>113</v>
      </c>
      <c r="R2" s="55" t="s">
        <v>113</v>
      </c>
      <c r="S2" s="55" t="e">
        <v>#VALUE!</v>
      </c>
      <c r="T2" s="36" t="s">
        <v>113</v>
      </c>
      <c r="U2" s="36" t="s">
        <v>113</v>
      </c>
      <c r="V2" s="36" t="s">
        <v>113</v>
      </c>
      <c r="W2" s="36" t="s">
        <v>113</v>
      </c>
      <c r="X2" s="38" t="s">
        <v>113</v>
      </c>
      <c r="Y2" s="22" t="s">
        <v>113</v>
      </c>
      <c r="Z2" s="30" t="s">
        <v>113</v>
      </c>
      <c r="AA2" s="55" t="e">
        <v>#VALUE!</v>
      </c>
      <c r="AB2" s="36" t="s">
        <v>113</v>
      </c>
      <c r="AC2" s="36" t="s">
        <v>113</v>
      </c>
      <c r="AD2" s="36" t="s">
        <v>113</v>
      </c>
      <c r="AE2" s="36" t="s">
        <v>113</v>
      </c>
      <c r="AF2" s="39" t="s">
        <v>113</v>
      </c>
    </row>
    <row r="3" spans="1:32" ht="15.75" x14ac:dyDescent="0.25">
      <c r="A3" s="41">
        <f>ROW()-1</f>
        <v>2</v>
      </c>
      <c r="B3" s="23" t="s">
        <v>118</v>
      </c>
      <c r="C3" s="23" t="s">
        <v>113</v>
      </c>
      <c r="D3" s="22" t="s">
        <v>113</v>
      </c>
      <c r="E3" s="22" t="s">
        <v>113</v>
      </c>
      <c r="F3" s="23" t="s">
        <v>113</v>
      </c>
      <c r="G3" s="22" t="s">
        <v>43</v>
      </c>
      <c r="H3" s="25" t="s">
        <v>38</v>
      </c>
      <c r="I3" s="23" t="s">
        <v>113</v>
      </c>
      <c r="J3" s="36" t="s">
        <v>119</v>
      </c>
      <c r="K3" s="36" t="s">
        <v>119</v>
      </c>
      <c r="L3" s="36" t="s">
        <v>119</v>
      </c>
      <c r="M3" s="36" t="s">
        <v>119</v>
      </c>
      <c r="N3" s="37" t="s">
        <v>113</v>
      </c>
      <c r="O3" s="22" t="s">
        <v>128</v>
      </c>
      <c r="P3" s="53" t="s">
        <v>113</v>
      </c>
      <c r="Q3" s="54" t="s">
        <v>113</v>
      </c>
      <c r="R3" s="55" t="s">
        <v>113</v>
      </c>
      <c r="S3" s="55" t="e">
        <v>#VALUE!</v>
      </c>
      <c r="T3" s="36" t="s">
        <v>113</v>
      </c>
      <c r="U3" s="36" t="s">
        <v>113</v>
      </c>
      <c r="V3" s="36" t="s">
        <v>113</v>
      </c>
      <c r="W3" s="36" t="s">
        <v>113</v>
      </c>
      <c r="X3" s="38" t="s">
        <v>113</v>
      </c>
      <c r="Y3" s="22" t="s">
        <v>113</v>
      </c>
      <c r="Z3" s="30" t="s">
        <v>113</v>
      </c>
      <c r="AA3" s="55" t="e">
        <v>#VALUE!</v>
      </c>
      <c r="AB3" s="36" t="s">
        <v>113</v>
      </c>
      <c r="AC3" s="36" t="s">
        <v>113</v>
      </c>
      <c r="AD3" s="36" t="s">
        <v>113</v>
      </c>
      <c r="AE3" s="36" t="s">
        <v>113</v>
      </c>
      <c r="AF3" s="39" t="s">
        <v>113</v>
      </c>
    </row>
    <row r="4" spans="1:32" ht="15.75" x14ac:dyDescent="0.25">
      <c r="A4" s="41">
        <f>ROW()-1</f>
        <v>3</v>
      </c>
      <c r="B4" s="23"/>
      <c r="C4" s="23" t="s">
        <v>116</v>
      </c>
      <c r="D4" s="22" t="s">
        <v>117</v>
      </c>
      <c r="E4" s="22"/>
      <c r="F4" s="23"/>
      <c r="G4" s="22"/>
      <c r="H4" s="22"/>
      <c r="I4" s="23"/>
      <c r="J4" s="36" t="e">
        <v>#N/A</v>
      </c>
      <c r="K4" s="36" t="e">
        <v>#N/A</v>
      </c>
      <c r="L4" s="36" t="e">
        <v>#N/A</v>
      </c>
      <c r="M4" s="36" t="e">
        <v>#N/A</v>
      </c>
      <c r="N4" s="37"/>
      <c r="O4" s="22" t="s">
        <v>127</v>
      </c>
      <c r="P4" s="53"/>
      <c r="Q4" s="58"/>
      <c r="R4" s="55"/>
      <c r="S4" s="55">
        <v>0</v>
      </c>
      <c r="T4" s="36"/>
      <c r="U4" s="36"/>
      <c r="V4" s="36"/>
      <c r="W4" s="36"/>
      <c r="X4" s="38"/>
      <c r="Y4" s="22"/>
      <c r="AA4" s="55">
        <v>0</v>
      </c>
      <c r="AB4" s="36"/>
      <c r="AC4" s="36"/>
      <c r="AD4" s="36"/>
      <c r="AE4" s="36"/>
      <c r="AF4" s="39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T22"/>
  <sheetViews>
    <sheetView zoomScale="70" zoomScaleNormal="70" workbookViewId="0">
      <selection activeCell="K12" sqref="K12"/>
    </sheetView>
  </sheetViews>
  <sheetFormatPr baseColWidth="10" defaultColWidth="9.140625" defaultRowHeight="15" x14ac:dyDescent="0.25"/>
  <cols>
    <col min="1" max="1" width="9.140625" style="9"/>
    <col min="2" max="2" width="20.7109375" style="9" customWidth="1"/>
    <col min="3" max="3" width="27" style="9" customWidth="1"/>
    <col min="4" max="4" width="10.5703125" style="9" customWidth="1"/>
    <col min="5" max="5" width="9.140625" style="9" customWidth="1"/>
    <col min="6" max="6" width="25.42578125" style="9" customWidth="1"/>
    <col min="7" max="7" width="29.42578125" style="9" customWidth="1"/>
    <col min="8" max="8" width="9.7109375" style="9" customWidth="1"/>
    <col min="9" max="9" width="9.140625" style="9" customWidth="1"/>
    <col min="10" max="10" width="20.42578125" style="9" customWidth="1"/>
    <col min="11" max="11" width="27.7109375" style="9" customWidth="1"/>
    <col min="12" max="12" width="9.140625" style="9" customWidth="1"/>
    <col min="13" max="13" width="9.140625" style="9"/>
    <col min="14" max="14" width="13.7109375" style="9" customWidth="1"/>
    <col min="15" max="15" width="31.5703125" style="9" customWidth="1"/>
    <col min="16" max="16384" width="9.140625" style="9"/>
  </cols>
  <sheetData>
    <row r="1" spans="1:20" ht="15" customHeight="1" x14ac:dyDescent="0.25">
      <c r="A1" s="111" t="s">
        <v>76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2"/>
      <c r="R1" s="12"/>
      <c r="S1" s="12"/>
      <c r="T1" s="12"/>
    </row>
    <row r="2" spans="1:20" ht="15" customHeight="1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2"/>
      <c r="R2" s="12"/>
      <c r="S2" s="12"/>
      <c r="T2" s="12"/>
    </row>
    <row r="3" spans="1:20" ht="15" customHeight="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2"/>
      <c r="R3" s="12"/>
      <c r="S3" s="12"/>
      <c r="T3" s="12"/>
    </row>
    <row r="4" spans="1:20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0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20" ht="15.75" x14ac:dyDescent="0.25">
      <c r="A6" s="11"/>
      <c r="B6" s="10" t="s">
        <v>0</v>
      </c>
      <c r="C6" s="13"/>
      <c r="D6" s="11"/>
      <c r="E6" s="11"/>
      <c r="F6" s="10" t="s">
        <v>7</v>
      </c>
      <c r="G6" s="13"/>
      <c r="H6" s="11"/>
      <c r="I6" s="11"/>
      <c r="J6" s="10" t="s">
        <v>14</v>
      </c>
      <c r="K6" s="15"/>
      <c r="L6" s="11"/>
      <c r="M6" s="11"/>
      <c r="N6" s="10" t="s">
        <v>78</v>
      </c>
      <c r="O6" s="19" t="e">
        <f>L16/P8</f>
        <v>#DIV/0!</v>
      </c>
      <c r="P6" s="11"/>
    </row>
    <row r="7" spans="1:20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20" ht="15.75" x14ac:dyDescent="0.25">
      <c r="A8" s="11"/>
      <c r="B8" s="10" t="s">
        <v>1</v>
      </c>
      <c r="C8" s="13"/>
      <c r="D8" s="11"/>
      <c r="E8" s="11"/>
      <c r="F8" s="10" t="s">
        <v>8</v>
      </c>
      <c r="G8" s="13"/>
      <c r="H8" s="11"/>
      <c r="I8" s="11"/>
      <c r="J8" s="10" t="s">
        <v>19</v>
      </c>
      <c r="K8" s="13"/>
      <c r="L8" s="11"/>
      <c r="M8" s="11"/>
      <c r="N8" s="10" t="s">
        <v>17</v>
      </c>
      <c r="O8" s="16">
        <f>IF(K8="Removed",L16,L18*(L14-0.3))</f>
        <v>0</v>
      </c>
      <c r="P8" s="11"/>
    </row>
    <row r="9" spans="1:2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20" ht="15.75" x14ac:dyDescent="0.25">
      <c r="A10" s="11"/>
      <c r="B10" s="10" t="s">
        <v>2</v>
      </c>
      <c r="C10" s="18"/>
      <c r="D10" s="11"/>
      <c r="E10" s="11"/>
      <c r="F10" s="10" t="s">
        <v>9</v>
      </c>
      <c r="G10" s="14"/>
      <c r="H10" s="11"/>
      <c r="I10" s="11"/>
      <c r="J10" s="10" t="s">
        <v>20</v>
      </c>
      <c r="K10" s="13"/>
      <c r="L10" s="11"/>
      <c r="M10" s="11"/>
      <c r="N10" s="10" t="s">
        <v>79</v>
      </c>
      <c r="O10" s="19" t="e">
        <f>1-(H16/L14)</f>
        <v>#DIV/0!</v>
      </c>
      <c r="P10" s="11"/>
    </row>
    <row r="11" spans="1:20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20" ht="15.75" x14ac:dyDescent="0.25">
      <c r="A12" s="11"/>
      <c r="B12" s="10" t="s">
        <v>3</v>
      </c>
      <c r="C12" s="13"/>
      <c r="D12" s="11"/>
      <c r="E12" s="11"/>
      <c r="F12" s="10" t="s">
        <v>75</v>
      </c>
      <c r="G12" s="14"/>
      <c r="H12" s="11"/>
      <c r="I12" s="11"/>
      <c r="J12" s="10" t="s">
        <v>22</v>
      </c>
      <c r="K12" s="13"/>
      <c r="L12" s="11"/>
      <c r="M12" s="11"/>
      <c r="N12" s="11"/>
      <c r="O12" s="11"/>
      <c r="P12" s="11"/>
    </row>
    <row r="13" spans="1:20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20" ht="15.75" x14ac:dyDescent="0.25">
      <c r="A14" s="11"/>
      <c r="B14" s="10" t="s">
        <v>4</v>
      </c>
      <c r="C14" s="13"/>
      <c r="D14" s="11"/>
      <c r="E14" s="11"/>
      <c r="F14" s="10" t="s">
        <v>10</v>
      </c>
      <c r="G14" s="13"/>
      <c r="H14" s="11"/>
      <c r="I14" s="11"/>
      <c r="J14" s="10" t="s">
        <v>11</v>
      </c>
      <c r="K14" s="16" t="e">
        <f>VLOOKUP($D$16&amp;$H$6,'Profondeur '!$D:$E,2,FALSE)</f>
        <v>#N/A</v>
      </c>
      <c r="L14" s="11"/>
      <c r="M14" s="11"/>
      <c r="N14" s="11"/>
      <c r="O14" s="11"/>
      <c r="P14" s="11"/>
    </row>
    <row r="15" spans="1:20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20" ht="15.75" x14ac:dyDescent="0.25">
      <c r="A16" s="11"/>
      <c r="B16" s="10" t="s">
        <v>5</v>
      </c>
      <c r="C16" s="13"/>
      <c r="D16" s="11"/>
      <c r="E16" s="11"/>
      <c r="F16" s="10" t="s">
        <v>12</v>
      </c>
      <c r="G16" s="13"/>
      <c r="H16" s="11"/>
      <c r="I16" s="11"/>
      <c r="J16" s="10" t="s">
        <v>77</v>
      </c>
      <c r="K16" s="17">
        <f>L6-H18</f>
        <v>0</v>
      </c>
      <c r="L16" s="11"/>
      <c r="M16" s="11"/>
      <c r="N16" s="11"/>
      <c r="O16" s="11"/>
      <c r="P16" s="11"/>
    </row>
    <row r="17" spans="1:1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5.75" x14ac:dyDescent="0.25">
      <c r="A18" s="11"/>
      <c r="B18" s="10" t="s">
        <v>6</v>
      </c>
      <c r="C18" s="13"/>
      <c r="D18" s="11"/>
      <c r="E18" s="11"/>
      <c r="F18" s="10" t="s">
        <v>13</v>
      </c>
      <c r="G18" s="15"/>
      <c r="H18" s="11"/>
      <c r="I18" s="11"/>
      <c r="J18" s="10" t="s">
        <v>16</v>
      </c>
      <c r="K18" s="16" t="e">
        <f>IF(L8="Removed"," ",L16/(L14-H16))</f>
        <v>#DIV/0!</v>
      </c>
      <c r="L18" s="11"/>
      <c r="M18" s="11"/>
      <c r="N18" s="11"/>
      <c r="O18" s="11"/>
      <c r="P18" s="11"/>
    </row>
    <row r="19" spans="1:1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</sheetData>
  <sheetProtection sheet="1" objects="1" scenarios="1" selectLockedCells="1"/>
  <mergeCells count="1">
    <mergeCell ref="A1:P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Remplissage_du_tableau">
                <anchor moveWithCells="1" sizeWithCells="1">
                  <from>
                    <xdr:col>12</xdr:col>
                    <xdr:colOff>571500</xdr:colOff>
                    <xdr:row>17</xdr:row>
                    <xdr:rowOff>38100</xdr:rowOff>
                  </from>
                  <to>
                    <xdr:col>15</xdr:col>
                    <xdr:colOff>161925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Status!$A$1:$A$2</xm:f>
          </x14:formula1>
          <xm:sqref>K8</xm:sqref>
        </x14:dataValidation>
        <x14:dataValidation type="list" allowBlank="1" showInputMessage="1" showErrorMessage="1" xr:uid="{00000000-0002-0000-0300-000001000000}">
          <x14:formula1>
            <xm:f>Status!$B$1:$B$3</xm:f>
          </x14:formula1>
          <xm:sqref>K12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Y5"/>
  <sheetViews>
    <sheetView zoomScale="55" zoomScaleNormal="55" workbookViewId="0">
      <selection activeCell="U12" sqref="U12"/>
    </sheetView>
  </sheetViews>
  <sheetFormatPr baseColWidth="10" defaultColWidth="9" defaultRowHeight="15" x14ac:dyDescent="0.25"/>
  <cols>
    <col min="1" max="1" width="9.140625" style="25"/>
    <col min="2" max="2" width="17" style="25" bestFit="1" customWidth="1"/>
    <col min="3" max="3" width="10.140625" style="25" bestFit="1" customWidth="1"/>
    <col min="4" max="4" width="9.140625" style="25"/>
    <col min="5" max="5" width="13.28515625" style="25" bestFit="1" customWidth="1"/>
    <col min="6" max="10" width="9.140625" style="25"/>
    <col min="11" max="12" width="9.140625" style="30"/>
    <col min="13" max="14" width="9.140625" style="25"/>
    <col min="15" max="15" width="10.28515625" style="25" customWidth="1"/>
    <col min="16" max="16" width="15" style="25" bestFit="1" customWidth="1"/>
    <col min="17" max="17" width="13.7109375" style="25" bestFit="1" customWidth="1"/>
    <col min="18" max="25" width="9.140625" style="25"/>
    <col min="28" max="28" width="17" style="25" bestFit="1" customWidth="1"/>
    <col min="29" max="29" width="9.140625" style="25"/>
    <col min="30" max="31" width="9.140625" style="27"/>
    <col min="32" max="36" width="9.140625" style="25"/>
    <col min="37" max="38" width="9.140625" style="30"/>
    <col min="39" max="46" width="9.140625" style="25"/>
    <col min="47" max="47" width="15.42578125" style="25" bestFit="1" customWidth="1"/>
    <col min="48" max="51" width="9.140625" style="25"/>
  </cols>
  <sheetData>
    <row r="1" spans="1:51" x14ac:dyDescent="0.25">
      <c r="A1" s="59" t="s">
        <v>80</v>
      </c>
      <c r="B1" s="59" t="s">
        <v>0</v>
      </c>
      <c r="C1" s="59" t="s">
        <v>1</v>
      </c>
      <c r="D1" s="59" t="s">
        <v>2</v>
      </c>
      <c r="E1" s="59" t="s">
        <v>3</v>
      </c>
      <c r="F1" s="59" t="s">
        <v>4</v>
      </c>
      <c r="G1" s="59" t="s">
        <v>5</v>
      </c>
      <c r="H1" s="59" t="s">
        <v>6</v>
      </c>
      <c r="I1" s="59" t="s">
        <v>7</v>
      </c>
      <c r="J1" s="59" t="s">
        <v>8</v>
      </c>
      <c r="K1" s="59" t="s">
        <v>9</v>
      </c>
      <c r="L1" s="59" t="s">
        <v>75</v>
      </c>
      <c r="M1" s="59" t="s">
        <v>10</v>
      </c>
      <c r="N1" s="59" t="s">
        <v>11</v>
      </c>
      <c r="O1" s="59" t="s">
        <v>12</v>
      </c>
      <c r="P1" s="59" t="s">
        <v>13</v>
      </c>
      <c r="Q1" s="59" t="s">
        <v>14</v>
      </c>
      <c r="R1" s="59" t="s">
        <v>15</v>
      </c>
      <c r="S1" s="59" t="s">
        <v>16</v>
      </c>
      <c r="T1" s="59" t="s">
        <v>17</v>
      </c>
      <c r="U1" s="59" t="s">
        <v>18</v>
      </c>
      <c r="V1" s="59" t="s">
        <v>19</v>
      </c>
      <c r="W1" s="59" t="s">
        <v>20</v>
      </c>
      <c r="X1" s="59" t="s">
        <v>21</v>
      </c>
      <c r="Y1" s="59" t="s">
        <v>22</v>
      </c>
      <c r="AB1" s="59" t="s">
        <v>0</v>
      </c>
      <c r="AC1" s="59" t="s">
        <v>1</v>
      </c>
      <c r="AD1" s="59" t="s">
        <v>2</v>
      </c>
      <c r="AE1" s="59" t="s">
        <v>3</v>
      </c>
      <c r="AF1" s="59" t="s">
        <v>4</v>
      </c>
      <c r="AG1" s="59" t="s">
        <v>5</v>
      </c>
      <c r="AH1" s="59" t="s">
        <v>6</v>
      </c>
      <c r="AI1" s="59" t="s">
        <v>7</v>
      </c>
      <c r="AJ1" s="59" t="s">
        <v>8</v>
      </c>
      <c r="AK1" s="59" t="s">
        <v>9</v>
      </c>
      <c r="AL1" s="59" t="s">
        <v>75</v>
      </c>
      <c r="AM1" s="59" t="s">
        <v>10</v>
      </c>
      <c r="AN1" s="59" t="s">
        <v>11</v>
      </c>
      <c r="AO1" s="59" t="s">
        <v>12</v>
      </c>
      <c r="AP1" s="59" t="s">
        <v>13</v>
      </c>
      <c r="AQ1" s="59" t="s">
        <v>14</v>
      </c>
      <c r="AR1" s="59" t="s">
        <v>15</v>
      </c>
      <c r="AS1" s="59" t="s">
        <v>16</v>
      </c>
      <c r="AT1" s="59" t="s">
        <v>17</v>
      </c>
      <c r="AU1" s="59" t="s">
        <v>18</v>
      </c>
      <c r="AV1" s="59" t="s">
        <v>19</v>
      </c>
      <c r="AW1" s="59" t="s">
        <v>20</v>
      </c>
      <c r="AX1" s="59" t="s">
        <v>21</v>
      </c>
      <c r="AY1" s="59" t="s">
        <v>22</v>
      </c>
    </row>
    <row r="2" spans="1:51" x14ac:dyDescent="0.25">
      <c r="A2" s="87">
        <v>1</v>
      </c>
      <c r="B2" s="87" t="s">
        <v>120</v>
      </c>
      <c r="C2" s="87" t="s">
        <v>81</v>
      </c>
      <c r="D2" s="88" t="s">
        <v>82</v>
      </c>
      <c r="E2" s="87" t="s">
        <v>115</v>
      </c>
      <c r="F2" s="87" t="s">
        <v>83</v>
      </c>
      <c r="G2" s="87" t="s">
        <v>37</v>
      </c>
      <c r="H2" s="87" t="s">
        <v>139</v>
      </c>
      <c r="I2" s="87" t="s">
        <v>44</v>
      </c>
      <c r="J2" s="87" t="s">
        <v>84</v>
      </c>
      <c r="K2" s="87" t="s">
        <v>85</v>
      </c>
      <c r="L2" s="87" t="s">
        <v>86</v>
      </c>
      <c r="M2" s="87" t="s">
        <v>127</v>
      </c>
      <c r="N2" s="87" t="s">
        <v>137</v>
      </c>
      <c r="O2" s="87" t="s">
        <v>87</v>
      </c>
      <c r="P2" s="87">
        <v>120000</v>
      </c>
      <c r="Q2" s="87">
        <v>130000</v>
      </c>
      <c r="R2" s="87">
        <v>10000</v>
      </c>
      <c r="S2" s="87" t="s">
        <v>137</v>
      </c>
      <c r="T2" s="87" t="s">
        <v>137</v>
      </c>
      <c r="U2" s="89" t="s">
        <v>137</v>
      </c>
      <c r="V2" s="87" t="s">
        <v>23</v>
      </c>
      <c r="W2" s="87" t="s">
        <v>88</v>
      </c>
      <c r="X2" s="89" t="s">
        <v>137</v>
      </c>
      <c r="Y2" s="87" t="s">
        <v>25</v>
      </c>
      <c r="AB2" s="60"/>
      <c r="AC2" s="60"/>
      <c r="AD2" s="61"/>
      <c r="AE2" s="60"/>
      <c r="AF2" s="60"/>
      <c r="AG2" s="60"/>
      <c r="AH2" s="60"/>
      <c r="AI2" s="60"/>
      <c r="AJ2" s="60"/>
      <c r="AK2" s="62"/>
      <c r="AL2" s="62"/>
      <c r="AM2" s="60" t="s">
        <v>127</v>
      </c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</row>
    <row r="3" spans="1:51" x14ac:dyDescent="0.25">
      <c r="A3" s="90"/>
      <c r="B3" s="90"/>
      <c r="C3" s="90"/>
      <c r="D3" s="91"/>
      <c r="E3" s="90"/>
      <c r="F3" s="90"/>
      <c r="G3" s="90"/>
      <c r="H3" s="90"/>
      <c r="I3" s="90"/>
      <c r="J3" s="90"/>
      <c r="K3" s="92"/>
      <c r="L3" s="92"/>
      <c r="M3" s="90"/>
      <c r="N3" s="87"/>
      <c r="O3" s="90"/>
      <c r="P3" s="90"/>
      <c r="Q3" s="90"/>
      <c r="R3" s="87"/>
      <c r="S3" s="87"/>
      <c r="T3" s="87"/>
      <c r="U3" s="89"/>
      <c r="V3" s="90"/>
      <c r="W3" s="90"/>
      <c r="X3" s="89"/>
      <c r="Y3" s="87"/>
    </row>
    <row r="4" spans="1:51" x14ac:dyDescent="0.25">
      <c r="D4" s="27"/>
      <c r="U4" s="33"/>
      <c r="X4" s="33"/>
    </row>
    <row r="5" spans="1:51" x14ac:dyDescent="0.25">
      <c r="D5" s="27"/>
      <c r="U5" s="33"/>
      <c r="X5" s="33"/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L15"/>
  <sheetViews>
    <sheetView topLeftCell="Y1" zoomScale="55" zoomScaleNormal="55" workbookViewId="0">
      <selection activeCell="AE13" sqref="AE13"/>
    </sheetView>
  </sheetViews>
  <sheetFormatPr baseColWidth="10" defaultColWidth="9" defaultRowHeight="15" x14ac:dyDescent="0.25"/>
  <cols>
    <col min="1" max="1" width="6.42578125" style="25" bestFit="1" customWidth="1"/>
    <col min="2" max="2" width="26.42578125" style="25" bestFit="1" customWidth="1"/>
    <col min="3" max="3" width="8" style="25" bestFit="1" customWidth="1"/>
    <col min="4" max="4" width="15.7109375" style="25" bestFit="1" customWidth="1"/>
    <col min="5" max="5" width="12.140625" style="25" bestFit="1" customWidth="1"/>
    <col min="6" max="6" width="17" style="25" bestFit="1" customWidth="1"/>
    <col min="7" max="7" width="9.7109375" style="25" bestFit="1" customWidth="1"/>
    <col min="8" max="8" width="16.28515625" style="25" bestFit="1" customWidth="1"/>
    <col min="9" max="9" width="12.28515625" style="25" bestFit="1" customWidth="1"/>
    <col min="10" max="10" width="32.5703125" style="25" customWidth="1"/>
    <col min="11" max="13" width="33.140625" style="25" bestFit="1" customWidth="1"/>
    <col min="14" max="14" width="25.140625" style="25" bestFit="1" customWidth="1"/>
    <col min="15" max="15" width="13.7109375" style="25" bestFit="1" customWidth="1"/>
    <col min="16" max="16" width="44" style="25" bestFit="1" customWidth="1"/>
    <col min="17" max="17" width="25.28515625" style="25" bestFit="1" customWidth="1"/>
    <col min="18" max="18" width="43.7109375" style="25" bestFit="1" customWidth="1"/>
    <col min="19" max="19" width="23.5703125" style="25" bestFit="1" customWidth="1"/>
    <col min="20" max="20" width="32.28515625" style="25" bestFit="1" customWidth="1"/>
    <col min="21" max="23" width="31.28515625" style="25" bestFit="1" customWidth="1"/>
    <col min="24" max="24" width="18.5703125" style="25" bestFit="1" customWidth="1"/>
    <col min="25" max="25" width="28" style="25" bestFit="1" customWidth="1"/>
    <col min="26" max="26" width="41.7109375" style="25" bestFit="1" customWidth="1"/>
    <col min="27" max="27" width="28.7109375" style="25" bestFit="1" customWidth="1"/>
    <col min="28" max="29" width="28.140625" style="25" bestFit="1" customWidth="1"/>
    <col min="30" max="30" width="29.28515625" style="25" bestFit="1" customWidth="1"/>
    <col min="31" max="32" width="26.85546875" style="25" bestFit="1" customWidth="1"/>
    <col min="34" max="34" width="26.42578125" style="25" bestFit="1" customWidth="1"/>
    <col min="35" max="35" width="9.140625" style="25"/>
    <col min="36" max="36" width="15.7109375" style="25" bestFit="1" customWidth="1"/>
    <col min="37" max="37" width="12.140625" style="25" bestFit="1" customWidth="1"/>
    <col min="38" max="38" width="17" style="25" bestFit="1" customWidth="1"/>
    <col min="39" max="39" width="9.7109375" style="25" bestFit="1" customWidth="1"/>
    <col min="40" max="40" width="16.28515625" style="25" bestFit="1" customWidth="1"/>
    <col min="41" max="41" width="12.28515625" style="25" bestFit="1" customWidth="1"/>
    <col min="42" max="42" width="32.5703125" style="25" bestFit="1" customWidth="1"/>
    <col min="43" max="45" width="33.140625" style="25" bestFit="1" customWidth="1"/>
    <col min="46" max="46" width="25.140625" style="25" bestFit="1" customWidth="1"/>
    <col min="47" max="47" width="13.7109375" style="25" bestFit="1" customWidth="1"/>
    <col min="48" max="48" width="44" style="25" bestFit="1" customWidth="1"/>
    <col min="49" max="49" width="25.28515625" style="25" bestFit="1" customWidth="1"/>
    <col min="50" max="50" width="43.7109375" style="25" bestFit="1" customWidth="1"/>
    <col min="51" max="51" width="23.5703125" style="25" bestFit="1" customWidth="1"/>
    <col min="52" max="52" width="32.28515625" style="25" bestFit="1" customWidth="1"/>
    <col min="53" max="55" width="31.28515625" style="25" bestFit="1" customWidth="1"/>
    <col min="56" max="56" width="18.5703125" style="25" bestFit="1" customWidth="1"/>
    <col min="57" max="57" width="28" style="25" bestFit="1" customWidth="1"/>
    <col min="58" max="58" width="41.7109375" style="25" bestFit="1" customWidth="1"/>
    <col min="59" max="59" width="24" style="25" bestFit="1" customWidth="1"/>
    <col min="60" max="60" width="28.7109375" style="25" bestFit="1" customWidth="1"/>
    <col min="61" max="62" width="28.140625" style="25" bestFit="1" customWidth="1"/>
    <col min="63" max="63" width="29.28515625" style="25" bestFit="1" customWidth="1"/>
    <col min="64" max="64" width="26.85546875" style="25" bestFit="1" customWidth="1"/>
  </cols>
  <sheetData>
    <row r="1" spans="1:64" x14ac:dyDescent="0.25">
      <c r="A1" s="59" t="s">
        <v>98</v>
      </c>
      <c r="B1" s="59" t="s">
        <v>0</v>
      </c>
      <c r="C1" s="59" t="s">
        <v>89</v>
      </c>
      <c r="D1" s="59" t="s">
        <v>90</v>
      </c>
      <c r="E1" s="59" t="s">
        <v>6</v>
      </c>
      <c r="F1" s="59" t="s">
        <v>4</v>
      </c>
      <c r="G1" s="59" t="s">
        <v>7</v>
      </c>
      <c r="H1" s="59" t="s">
        <v>5</v>
      </c>
      <c r="I1" s="59" t="s">
        <v>8</v>
      </c>
      <c r="J1" s="59" t="s">
        <v>99</v>
      </c>
      <c r="K1" s="59" t="s">
        <v>100</v>
      </c>
      <c r="L1" s="59" t="s">
        <v>101</v>
      </c>
      <c r="M1" s="59" t="s">
        <v>102</v>
      </c>
      <c r="N1" s="59" t="s">
        <v>9</v>
      </c>
      <c r="O1" s="59" t="s">
        <v>10</v>
      </c>
      <c r="P1" s="59" t="s">
        <v>91</v>
      </c>
      <c r="Q1" s="59" t="s">
        <v>92</v>
      </c>
      <c r="R1" s="59" t="s">
        <v>93</v>
      </c>
      <c r="S1" s="59" t="s">
        <v>94</v>
      </c>
      <c r="T1" s="59" t="s">
        <v>111</v>
      </c>
      <c r="U1" s="59" t="s">
        <v>103</v>
      </c>
      <c r="V1" s="59" t="s">
        <v>104</v>
      </c>
      <c r="W1" s="59" t="s">
        <v>105</v>
      </c>
      <c r="X1" s="59" t="s">
        <v>95</v>
      </c>
      <c r="Y1" s="59" t="s">
        <v>96</v>
      </c>
      <c r="Z1" s="59" t="s">
        <v>112</v>
      </c>
      <c r="AA1" s="59" t="s">
        <v>97</v>
      </c>
      <c r="AB1" s="59" t="s">
        <v>106</v>
      </c>
      <c r="AC1" s="59" t="s">
        <v>107</v>
      </c>
      <c r="AD1" s="59" t="s">
        <v>108</v>
      </c>
      <c r="AE1" s="59" t="s">
        <v>109</v>
      </c>
      <c r="AF1" s="59" t="s">
        <v>110</v>
      </c>
      <c r="AH1" s="59" t="s">
        <v>0</v>
      </c>
      <c r="AI1" s="59" t="s">
        <v>89</v>
      </c>
      <c r="AJ1" s="59" t="s">
        <v>90</v>
      </c>
      <c r="AK1" s="59" t="s">
        <v>6</v>
      </c>
      <c r="AL1" s="59" t="s">
        <v>4</v>
      </c>
      <c r="AM1" s="59" t="s">
        <v>7</v>
      </c>
      <c r="AN1" s="59" t="s">
        <v>5</v>
      </c>
      <c r="AO1" s="59" t="s">
        <v>8</v>
      </c>
      <c r="AP1" s="59" t="s">
        <v>99</v>
      </c>
      <c r="AQ1" s="59" t="s">
        <v>100</v>
      </c>
      <c r="AR1" s="59" t="s">
        <v>101</v>
      </c>
      <c r="AS1" s="59" t="s">
        <v>102</v>
      </c>
      <c r="AT1" s="59" t="s">
        <v>9</v>
      </c>
      <c r="AU1" s="59" t="s">
        <v>10</v>
      </c>
      <c r="AV1" s="59" t="s">
        <v>91</v>
      </c>
      <c r="AW1" s="59" t="s">
        <v>92</v>
      </c>
      <c r="AX1" s="59" t="s">
        <v>93</v>
      </c>
      <c r="AY1" s="59" t="s">
        <v>94</v>
      </c>
      <c r="AZ1" s="59" t="s">
        <v>111</v>
      </c>
      <c r="BA1" s="59" t="s">
        <v>103</v>
      </c>
      <c r="BB1" s="59" t="s">
        <v>104</v>
      </c>
      <c r="BC1" s="59" t="s">
        <v>105</v>
      </c>
      <c r="BD1" s="59" t="s">
        <v>95</v>
      </c>
      <c r="BE1" s="59" t="s">
        <v>96</v>
      </c>
      <c r="BF1" s="59" t="s">
        <v>112</v>
      </c>
      <c r="BG1" s="59" t="s">
        <v>97</v>
      </c>
      <c r="BH1" s="59" t="s">
        <v>106</v>
      </c>
      <c r="BI1" s="59" t="s">
        <v>107</v>
      </c>
      <c r="BJ1" s="59" t="s">
        <v>108</v>
      </c>
      <c r="BK1" s="59" t="s">
        <v>109</v>
      </c>
      <c r="BL1" s="59" t="s">
        <v>110</v>
      </c>
    </row>
    <row r="2" spans="1:64" ht="15.75" x14ac:dyDescent="0.25">
      <c r="A2" s="41"/>
      <c r="B2" s="23"/>
      <c r="C2" s="23"/>
      <c r="D2" s="22"/>
      <c r="E2" s="22"/>
      <c r="F2" s="23"/>
      <c r="G2" s="22"/>
      <c r="H2" s="22"/>
      <c r="I2" s="23"/>
      <c r="J2" s="36"/>
      <c r="K2" s="36"/>
      <c r="L2" s="36"/>
      <c r="M2" s="36"/>
      <c r="N2" s="37"/>
      <c r="O2" s="22"/>
      <c r="P2" s="63"/>
      <c r="Q2" s="93"/>
      <c r="R2" s="64"/>
      <c r="S2" s="64"/>
      <c r="T2" s="36"/>
      <c r="U2" s="36"/>
      <c r="V2" s="36"/>
      <c r="W2" s="36"/>
      <c r="X2" s="38"/>
      <c r="Y2" s="22"/>
      <c r="Z2" s="30"/>
      <c r="AA2" s="64"/>
      <c r="AB2" s="36"/>
      <c r="AC2" s="36"/>
      <c r="AD2" s="36"/>
      <c r="AE2" s="36"/>
      <c r="AF2" s="39"/>
      <c r="AH2" s="60"/>
      <c r="AI2" s="60"/>
      <c r="AJ2" s="60"/>
      <c r="AK2" s="60"/>
      <c r="AL2" s="61"/>
      <c r="AM2" s="60"/>
      <c r="AN2" s="60"/>
      <c r="AO2" s="60"/>
      <c r="AP2" s="60"/>
      <c r="AQ2" s="60"/>
      <c r="AR2" s="60"/>
      <c r="AS2" s="60"/>
      <c r="AT2" s="60"/>
      <c r="AU2" s="60" t="s">
        <v>129</v>
      </c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</row>
    <row r="3" spans="1:64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</row>
    <row r="12" spans="1:64" x14ac:dyDescent="0.25">
      <c r="AG12" s="25"/>
    </row>
    <row r="13" spans="1:64" x14ac:dyDescent="0.25">
      <c r="AG13" s="25"/>
    </row>
    <row r="14" spans="1:64" x14ac:dyDescent="0.25">
      <c r="AG14" s="25"/>
    </row>
    <row r="15" spans="1:64" x14ac:dyDescent="0.25">
      <c r="AG15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3"/>
  <sheetViews>
    <sheetView workbookViewId="0">
      <selection activeCell="G15" sqref="G15"/>
    </sheetView>
  </sheetViews>
  <sheetFormatPr baseColWidth="10" defaultColWidth="9" defaultRowHeight="15" x14ac:dyDescent="0.25"/>
  <sheetData>
    <row r="1" spans="1:3" x14ac:dyDescent="0.25">
      <c r="A1" s="20" t="s">
        <v>23</v>
      </c>
      <c r="B1" s="21" t="s">
        <v>127</v>
      </c>
      <c r="C1" s="21" t="s">
        <v>25</v>
      </c>
    </row>
    <row r="2" spans="1:3" x14ac:dyDescent="0.25">
      <c r="A2" s="20" t="s">
        <v>24</v>
      </c>
      <c r="B2" s="21" t="s">
        <v>128</v>
      </c>
      <c r="C2" s="21" t="s">
        <v>26</v>
      </c>
    </row>
    <row r="3" spans="1:3" x14ac:dyDescent="0.25">
      <c r="B3" s="21" t="s">
        <v>129</v>
      </c>
      <c r="C3" s="21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86"/>
  <sheetViews>
    <sheetView zoomScale="85" zoomScaleNormal="85" workbookViewId="0">
      <pane ySplit="1" topLeftCell="A2" activePane="bottomLeft" state="frozen"/>
      <selection pane="bottomLeft" activeCell="E11" sqref="E11"/>
    </sheetView>
  </sheetViews>
  <sheetFormatPr baseColWidth="10" defaultColWidth="9" defaultRowHeight="15" x14ac:dyDescent="0.25"/>
  <cols>
    <col min="1" max="1" width="9.140625" style="65"/>
    <col min="2" max="2" width="34" customWidth="1"/>
    <col min="3" max="3" width="7.5703125" customWidth="1"/>
    <col min="4" max="4" width="18.85546875" style="28" customWidth="1"/>
    <col min="5" max="5" width="17.42578125" style="28" customWidth="1"/>
  </cols>
  <sheetData>
    <row r="1" spans="1:5" x14ac:dyDescent="0.25">
      <c r="A1" s="72" t="s">
        <v>98</v>
      </c>
      <c r="B1" s="73" t="s">
        <v>5</v>
      </c>
      <c r="C1" s="74" t="s">
        <v>7</v>
      </c>
      <c r="D1" s="75" t="s">
        <v>40</v>
      </c>
      <c r="E1" s="76" t="s">
        <v>71</v>
      </c>
    </row>
    <row r="2" spans="1:5" x14ac:dyDescent="0.25">
      <c r="A2" s="66">
        <f>ROW()-1</f>
        <v>1</v>
      </c>
      <c r="B2" s="2" t="s">
        <v>121</v>
      </c>
      <c r="C2" s="1" t="s">
        <v>39</v>
      </c>
      <c r="D2" s="40" t="str">
        <f>B2&amp;C2</f>
        <v>10R20SP320</v>
      </c>
      <c r="E2" s="67">
        <v>15.5</v>
      </c>
    </row>
    <row r="3" spans="1:5" x14ac:dyDescent="0.25">
      <c r="A3" s="66">
        <f t="shared" ref="A3:A66" si="0">ROW()-1</f>
        <v>2</v>
      </c>
      <c r="B3" s="2" t="s">
        <v>28</v>
      </c>
      <c r="C3" s="1" t="s">
        <v>39</v>
      </c>
      <c r="D3" s="40" t="str">
        <f t="shared" ref="D3:D66" si="1">B3&amp;C3</f>
        <v>11R22.5SP320</v>
      </c>
      <c r="E3" s="67">
        <v>15.5</v>
      </c>
    </row>
    <row r="4" spans="1:5" x14ac:dyDescent="0.25">
      <c r="A4" s="66">
        <f t="shared" si="0"/>
        <v>3</v>
      </c>
      <c r="B4" s="2" t="s">
        <v>29</v>
      </c>
      <c r="C4" s="1" t="s">
        <v>39</v>
      </c>
      <c r="D4" s="40" t="str">
        <f t="shared" si="1"/>
        <v>12R22.5SP320</v>
      </c>
      <c r="E4" s="67">
        <v>15</v>
      </c>
    </row>
    <row r="5" spans="1:5" x14ac:dyDescent="0.25">
      <c r="A5" s="66">
        <f t="shared" si="0"/>
        <v>4</v>
      </c>
      <c r="B5" s="2" t="s">
        <v>32</v>
      </c>
      <c r="C5" s="1" t="s">
        <v>39</v>
      </c>
      <c r="D5" s="40" t="str">
        <f t="shared" si="1"/>
        <v>215/75R17,5SP320</v>
      </c>
      <c r="E5" s="67">
        <v>13</v>
      </c>
    </row>
    <row r="6" spans="1:5" x14ac:dyDescent="0.25">
      <c r="A6" s="66">
        <f t="shared" si="0"/>
        <v>5</v>
      </c>
      <c r="B6" s="2" t="s">
        <v>34</v>
      </c>
      <c r="C6" s="1" t="s">
        <v>39</v>
      </c>
      <c r="D6" s="40" t="str">
        <f t="shared" si="1"/>
        <v>235/75R17,5SP320</v>
      </c>
      <c r="E6" s="67">
        <v>13.4</v>
      </c>
    </row>
    <row r="7" spans="1:5" x14ac:dyDescent="0.25">
      <c r="A7" s="66">
        <f t="shared" si="0"/>
        <v>6</v>
      </c>
      <c r="B7" s="2" t="s">
        <v>33</v>
      </c>
      <c r="C7" s="1" t="s">
        <v>39</v>
      </c>
      <c r="D7" s="40" t="str">
        <f t="shared" si="1"/>
        <v>385/65R22,5SP320</v>
      </c>
      <c r="E7" s="67">
        <v>15.4</v>
      </c>
    </row>
    <row r="8" spans="1:5" x14ac:dyDescent="0.25">
      <c r="A8" s="66">
        <f t="shared" si="0"/>
        <v>7</v>
      </c>
      <c r="B8" s="2" t="s">
        <v>35</v>
      </c>
      <c r="C8" s="1" t="s">
        <v>39</v>
      </c>
      <c r="D8" s="40" t="str">
        <f t="shared" si="1"/>
        <v>385/55R22,5SP320</v>
      </c>
      <c r="E8" s="67">
        <v>14.5</v>
      </c>
    </row>
    <row r="9" spans="1:5" x14ac:dyDescent="0.25">
      <c r="A9" s="66">
        <f t="shared" si="0"/>
        <v>8</v>
      </c>
      <c r="B9" s="2" t="s">
        <v>36</v>
      </c>
      <c r="C9" s="1" t="s">
        <v>39</v>
      </c>
      <c r="D9" s="40" t="str">
        <f t="shared" si="1"/>
        <v>275/80R22,5SP320</v>
      </c>
      <c r="E9" s="67">
        <v>15.5</v>
      </c>
    </row>
    <row r="10" spans="1:5" x14ac:dyDescent="0.25">
      <c r="A10" s="66">
        <f t="shared" si="0"/>
        <v>9</v>
      </c>
      <c r="B10" s="2" t="s">
        <v>37</v>
      </c>
      <c r="C10" s="1" t="s">
        <v>39</v>
      </c>
      <c r="D10" s="40" t="str">
        <f t="shared" si="1"/>
        <v>295/80R22,5SP320</v>
      </c>
      <c r="E10" s="67">
        <v>15</v>
      </c>
    </row>
    <row r="11" spans="1:5" x14ac:dyDescent="0.25">
      <c r="A11" s="66">
        <f t="shared" si="0"/>
        <v>10</v>
      </c>
      <c r="B11" s="2" t="s">
        <v>38</v>
      </c>
      <c r="C11" s="1" t="s">
        <v>39</v>
      </c>
      <c r="D11" s="40" t="str">
        <f t="shared" si="1"/>
        <v>315/80R22,5SP320</v>
      </c>
      <c r="E11" s="67">
        <v>15</v>
      </c>
    </row>
    <row r="12" spans="1:5" x14ac:dyDescent="0.25">
      <c r="A12" s="66">
        <f t="shared" si="0"/>
        <v>11</v>
      </c>
      <c r="B12" s="6" t="s">
        <v>37</v>
      </c>
      <c r="C12" s="7" t="s">
        <v>43</v>
      </c>
      <c r="D12" s="56" t="str">
        <f t="shared" si="1"/>
        <v>295/80R22,5SP350A</v>
      </c>
      <c r="E12" s="68">
        <v>15.3</v>
      </c>
    </row>
    <row r="13" spans="1:5" x14ac:dyDescent="0.25">
      <c r="A13" s="66">
        <f t="shared" si="0"/>
        <v>12</v>
      </c>
      <c r="B13" s="6" t="s">
        <v>38</v>
      </c>
      <c r="C13" s="7" t="s">
        <v>43</v>
      </c>
      <c r="D13" s="56" t="str">
        <f t="shared" si="1"/>
        <v>315/80R22,5SP350A</v>
      </c>
      <c r="E13" s="68">
        <v>16.5</v>
      </c>
    </row>
    <row r="14" spans="1:5" x14ac:dyDescent="0.25">
      <c r="A14" s="66">
        <f t="shared" si="0"/>
        <v>13</v>
      </c>
      <c r="B14" s="6" t="s">
        <v>41</v>
      </c>
      <c r="C14" s="7" t="s">
        <v>43</v>
      </c>
      <c r="D14" s="56" t="str">
        <f t="shared" si="1"/>
        <v>11R22,5SP350A</v>
      </c>
      <c r="E14" s="68">
        <v>15.1</v>
      </c>
    </row>
    <row r="15" spans="1:5" x14ac:dyDescent="0.25">
      <c r="A15" s="66">
        <f t="shared" si="0"/>
        <v>14</v>
      </c>
      <c r="B15" s="6" t="s">
        <v>42</v>
      </c>
      <c r="C15" s="7" t="s">
        <v>43</v>
      </c>
      <c r="D15" s="56" t="str">
        <f t="shared" si="1"/>
        <v>12R22,5SP350A</v>
      </c>
      <c r="E15" s="68">
        <v>15.1</v>
      </c>
    </row>
    <row r="16" spans="1:5" x14ac:dyDescent="0.25">
      <c r="A16" s="66">
        <f t="shared" si="0"/>
        <v>15</v>
      </c>
      <c r="B16" s="6" t="s">
        <v>122</v>
      </c>
      <c r="C16" s="7" t="s">
        <v>43</v>
      </c>
      <c r="D16" s="56" t="str">
        <f t="shared" si="1"/>
        <v>11R22SP350A</v>
      </c>
      <c r="E16" s="68">
        <v>14.9</v>
      </c>
    </row>
    <row r="17" spans="1:5" x14ac:dyDescent="0.25">
      <c r="A17" s="66">
        <f t="shared" si="0"/>
        <v>16</v>
      </c>
      <c r="B17" s="6" t="s">
        <v>121</v>
      </c>
      <c r="C17" s="7" t="s">
        <v>43</v>
      </c>
      <c r="D17" s="56" t="str">
        <f t="shared" si="1"/>
        <v>10R20SP350A</v>
      </c>
      <c r="E17" s="68">
        <v>15.1</v>
      </c>
    </row>
    <row r="18" spans="1:5" x14ac:dyDescent="0.25">
      <c r="A18" s="66">
        <f t="shared" si="0"/>
        <v>17</v>
      </c>
      <c r="B18" s="6" t="s">
        <v>123</v>
      </c>
      <c r="C18" s="7" t="s">
        <v>43</v>
      </c>
      <c r="D18" s="56" t="str">
        <f t="shared" si="1"/>
        <v>11R20SP350A</v>
      </c>
      <c r="E18" s="68">
        <v>15.1</v>
      </c>
    </row>
    <row r="19" spans="1:5" x14ac:dyDescent="0.25">
      <c r="A19" s="66">
        <f t="shared" si="0"/>
        <v>18</v>
      </c>
      <c r="B19" s="3" t="s">
        <v>30</v>
      </c>
      <c r="C19" s="4" t="s">
        <v>44</v>
      </c>
      <c r="D19" s="57" t="str">
        <f t="shared" si="1"/>
        <v>295/80R22.5SP350</v>
      </c>
      <c r="E19" s="69">
        <v>15.3</v>
      </c>
    </row>
    <row r="20" spans="1:5" x14ac:dyDescent="0.25">
      <c r="A20" s="66">
        <f t="shared" si="0"/>
        <v>19</v>
      </c>
      <c r="B20" s="3" t="s">
        <v>31</v>
      </c>
      <c r="C20" s="4" t="s">
        <v>44</v>
      </c>
      <c r="D20" s="57" t="str">
        <f t="shared" si="1"/>
        <v>315/80R22.5SP350</v>
      </c>
      <c r="E20" s="69">
        <v>16.5</v>
      </c>
    </row>
    <row r="21" spans="1:5" x14ac:dyDescent="0.25">
      <c r="A21" s="66">
        <f t="shared" si="0"/>
        <v>20</v>
      </c>
      <c r="B21" s="3" t="s">
        <v>28</v>
      </c>
      <c r="C21" s="4" t="s">
        <v>44</v>
      </c>
      <c r="D21" s="57" t="str">
        <f t="shared" si="1"/>
        <v>11R22.5SP350</v>
      </c>
      <c r="E21" s="69">
        <v>15.1</v>
      </c>
    </row>
    <row r="22" spans="1:5" x14ac:dyDescent="0.25">
      <c r="A22" s="66">
        <f t="shared" si="0"/>
        <v>21</v>
      </c>
      <c r="B22" s="3" t="s">
        <v>29</v>
      </c>
      <c r="C22" s="4" t="s">
        <v>44</v>
      </c>
      <c r="D22" s="57" t="str">
        <f t="shared" si="1"/>
        <v>12R22.5SP350</v>
      </c>
      <c r="E22" s="69">
        <v>15.1</v>
      </c>
    </row>
    <row r="23" spans="1:5" x14ac:dyDescent="0.25">
      <c r="A23" s="66">
        <f t="shared" si="0"/>
        <v>22</v>
      </c>
      <c r="B23" s="3" t="s">
        <v>122</v>
      </c>
      <c r="C23" s="4" t="s">
        <v>44</v>
      </c>
      <c r="D23" s="57" t="str">
        <f t="shared" si="1"/>
        <v>11R22SP350</v>
      </c>
      <c r="E23" s="69">
        <v>14.9</v>
      </c>
    </row>
    <row r="24" spans="1:5" x14ac:dyDescent="0.25">
      <c r="A24" s="66">
        <f t="shared" si="0"/>
        <v>23</v>
      </c>
      <c r="B24" s="3" t="s">
        <v>123</v>
      </c>
      <c r="C24" s="4" t="s">
        <v>44</v>
      </c>
      <c r="D24" s="57" t="str">
        <f t="shared" si="1"/>
        <v>11R20SP350</v>
      </c>
      <c r="E24" s="69">
        <v>15.1</v>
      </c>
    </row>
    <row r="25" spans="1:5" x14ac:dyDescent="0.25">
      <c r="A25" s="66">
        <f t="shared" si="0"/>
        <v>24</v>
      </c>
      <c r="B25" s="8" t="s">
        <v>45</v>
      </c>
      <c r="C25" s="7" t="s">
        <v>46</v>
      </c>
      <c r="D25" s="56" t="str">
        <f t="shared" si="1"/>
        <v>9,5R17,5SP442</v>
      </c>
      <c r="E25" s="70">
        <v>16.399999999999999</v>
      </c>
    </row>
    <row r="26" spans="1:5" x14ac:dyDescent="0.25">
      <c r="A26" s="66">
        <f t="shared" si="0"/>
        <v>25</v>
      </c>
      <c r="B26" s="8" t="s">
        <v>32</v>
      </c>
      <c r="C26" s="7" t="s">
        <v>46</v>
      </c>
      <c r="D26" s="56" t="str">
        <f t="shared" si="1"/>
        <v>215/75R17,5SP442</v>
      </c>
      <c r="E26" s="70">
        <v>4.7</v>
      </c>
    </row>
    <row r="27" spans="1:5" x14ac:dyDescent="0.25">
      <c r="A27" s="66">
        <f t="shared" si="0"/>
        <v>26</v>
      </c>
      <c r="B27" s="8" t="s">
        <v>34</v>
      </c>
      <c r="C27" s="7" t="s">
        <v>46</v>
      </c>
      <c r="D27" s="56" t="str">
        <f t="shared" si="1"/>
        <v>235/75R17,5SP442</v>
      </c>
      <c r="E27" s="70">
        <v>16.100000000000001</v>
      </c>
    </row>
    <row r="28" spans="1:5" x14ac:dyDescent="0.25">
      <c r="A28" s="66">
        <f t="shared" si="0"/>
        <v>27</v>
      </c>
      <c r="B28" s="8" t="s">
        <v>38</v>
      </c>
      <c r="C28" s="7" t="s">
        <v>46</v>
      </c>
      <c r="D28" s="56" t="str">
        <f t="shared" si="1"/>
        <v>315/80R22,5SP442</v>
      </c>
      <c r="E28" s="70" t="s">
        <v>47</v>
      </c>
    </row>
    <row r="29" spans="1:5" x14ac:dyDescent="0.25">
      <c r="A29" s="66">
        <f t="shared" si="0"/>
        <v>28</v>
      </c>
      <c r="B29" s="5" t="s">
        <v>48</v>
      </c>
      <c r="C29" s="4" t="s">
        <v>50</v>
      </c>
      <c r="D29" s="57" t="str">
        <f t="shared" si="1"/>
        <v>325/95R24SP925</v>
      </c>
      <c r="E29" s="71">
        <v>21.4</v>
      </c>
    </row>
    <row r="30" spans="1:5" x14ac:dyDescent="0.25">
      <c r="A30" s="66">
        <f t="shared" si="0"/>
        <v>29</v>
      </c>
      <c r="B30" s="5" t="s">
        <v>36</v>
      </c>
      <c r="C30" s="4" t="s">
        <v>50</v>
      </c>
      <c r="D30" s="57" t="str">
        <f t="shared" si="1"/>
        <v>275/80R22,5SP925</v>
      </c>
      <c r="E30" s="71">
        <v>19.399999999999999</v>
      </c>
    </row>
    <row r="31" spans="1:5" x14ac:dyDescent="0.25">
      <c r="A31" s="66">
        <f t="shared" si="0"/>
        <v>30</v>
      </c>
      <c r="B31" s="5" t="s">
        <v>37</v>
      </c>
      <c r="C31" s="4" t="s">
        <v>50</v>
      </c>
      <c r="D31" s="57" t="str">
        <f t="shared" si="1"/>
        <v>295/80R22,5SP925</v>
      </c>
      <c r="E31" s="71">
        <v>20</v>
      </c>
    </row>
    <row r="32" spans="1:5" x14ac:dyDescent="0.25">
      <c r="A32" s="66">
        <f t="shared" si="0"/>
        <v>31</v>
      </c>
      <c r="B32" s="5" t="s">
        <v>38</v>
      </c>
      <c r="C32" s="4" t="s">
        <v>50</v>
      </c>
      <c r="D32" s="57" t="str">
        <f t="shared" si="1"/>
        <v>315/80R22,5SP925</v>
      </c>
      <c r="E32" s="71">
        <v>24.2</v>
      </c>
    </row>
    <row r="33" spans="1:5" x14ac:dyDescent="0.25">
      <c r="A33" s="66">
        <f t="shared" si="0"/>
        <v>32</v>
      </c>
      <c r="B33" s="5" t="s">
        <v>49</v>
      </c>
      <c r="C33" s="4" t="s">
        <v>50</v>
      </c>
      <c r="D33" s="57" t="str">
        <f t="shared" si="1"/>
        <v>13R22,5SP925</v>
      </c>
      <c r="E33" s="71">
        <v>24.1</v>
      </c>
    </row>
    <row r="34" spans="1:5" x14ac:dyDescent="0.25">
      <c r="A34" s="66">
        <f t="shared" si="0"/>
        <v>33</v>
      </c>
      <c r="B34" s="6" t="s">
        <v>41</v>
      </c>
      <c r="C34" s="7" t="s">
        <v>51</v>
      </c>
      <c r="D34" s="56" t="str">
        <f t="shared" si="1"/>
        <v>11R22,5SP931</v>
      </c>
      <c r="E34" s="70">
        <v>24.8</v>
      </c>
    </row>
    <row r="35" spans="1:5" x14ac:dyDescent="0.25">
      <c r="A35" s="66">
        <f t="shared" si="0"/>
        <v>34</v>
      </c>
      <c r="B35" s="6" t="s">
        <v>41</v>
      </c>
      <c r="C35" s="7" t="s">
        <v>51</v>
      </c>
      <c r="D35" s="56" t="str">
        <f t="shared" si="1"/>
        <v>11R22,5SP931</v>
      </c>
      <c r="E35" s="70">
        <v>24.8</v>
      </c>
    </row>
    <row r="36" spans="1:5" x14ac:dyDescent="0.25">
      <c r="A36" s="66">
        <f t="shared" si="0"/>
        <v>35</v>
      </c>
      <c r="B36" s="6" t="s">
        <v>42</v>
      </c>
      <c r="C36" s="7" t="s">
        <v>51</v>
      </c>
      <c r="D36" s="56" t="str">
        <f t="shared" si="1"/>
        <v>12R22,5SP931</v>
      </c>
      <c r="E36" s="70">
        <v>24.8</v>
      </c>
    </row>
    <row r="37" spans="1:5" x14ac:dyDescent="0.25">
      <c r="A37" s="66">
        <f t="shared" si="0"/>
        <v>36</v>
      </c>
      <c r="B37" s="6" t="s">
        <v>49</v>
      </c>
      <c r="C37" s="7" t="s">
        <v>51</v>
      </c>
      <c r="D37" s="56" t="str">
        <f t="shared" si="1"/>
        <v>13R22,5SP931</v>
      </c>
      <c r="E37" s="70">
        <v>24.8</v>
      </c>
    </row>
    <row r="38" spans="1:5" x14ac:dyDescent="0.25">
      <c r="A38" s="66">
        <f t="shared" si="0"/>
        <v>37</v>
      </c>
      <c r="B38" s="6" t="s">
        <v>121</v>
      </c>
      <c r="C38" s="7" t="s">
        <v>51</v>
      </c>
      <c r="D38" s="56" t="str">
        <f t="shared" si="1"/>
        <v>10R20SP931</v>
      </c>
      <c r="E38" s="70">
        <v>24.8</v>
      </c>
    </row>
    <row r="39" spans="1:5" x14ac:dyDescent="0.25">
      <c r="A39" s="66">
        <f t="shared" si="0"/>
        <v>38</v>
      </c>
      <c r="B39" s="6" t="s">
        <v>123</v>
      </c>
      <c r="C39" s="7" t="s">
        <v>51</v>
      </c>
      <c r="D39" s="56" t="str">
        <f t="shared" si="1"/>
        <v>11R20SP931</v>
      </c>
      <c r="E39" s="70">
        <v>24.8</v>
      </c>
    </row>
    <row r="40" spans="1:5" x14ac:dyDescent="0.25">
      <c r="A40" s="66">
        <f t="shared" si="0"/>
        <v>39</v>
      </c>
      <c r="B40" s="3" t="s">
        <v>53</v>
      </c>
      <c r="C40" s="4" t="s">
        <v>58</v>
      </c>
      <c r="D40" s="57" t="str">
        <f t="shared" si="1"/>
        <v>325/95R22,5SP571</v>
      </c>
      <c r="E40" s="69">
        <v>16.7</v>
      </c>
    </row>
    <row r="41" spans="1:5" x14ac:dyDescent="0.25">
      <c r="A41" s="66">
        <f t="shared" si="0"/>
        <v>40</v>
      </c>
      <c r="B41" s="3" t="s">
        <v>54</v>
      </c>
      <c r="C41" s="4" t="s">
        <v>58</v>
      </c>
      <c r="D41" s="57" t="str">
        <f t="shared" si="1"/>
        <v>12,00R24SP571</v>
      </c>
      <c r="E41" s="69">
        <v>16.7</v>
      </c>
    </row>
    <row r="42" spans="1:5" x14ac:dyDescent="0.25">
      <c r="A42" s="66">
        <f t="shared" si="0"/>
        <v>41</v>
      </c>
      <c r="B42" s="3" t="s">
        <v>36</v>
      </c>
      <c r="C42" s="4" t="s">
        <v>58</v>
      </c>
      <c r="D42" s="57" t="str">
        <f t="shared" si="1"/>
        <v>275/80R22,5SP571</v>
      </c>
      <c r="E42" s="69">
        <v>17.399999999999999</v>
      </c>
    </row>
    <row r="43" spans="1:5" x14ac:dyDescent="0.25">
      <c r="A43" s="66">
        <f t="shared" si="0"/>
        <v>42</v>
      </c>
      <c r="B43" s="3" t="s">
        <v>37</v>
      </c>
      <c r="C43" s="4" t="s">
        <v>58</v>
      </c>
      <c r="D43" s="57" t="str">
        <f t="shared" si="1"/>
        <v>295/80R22,5SP571</v>
      </c>
      <c r="E43" s="69">
        <v>18.8</v>
      </c>
    </row>
    <row r="44" spans="1:5" x14ac:dyDescent="0.25">
      <c r="A44" s="66">
        <f t="shared" si="0"/>
        <v>43</v>
      </c>
      <c r="B44" s="3" t="s">
        <v>37</v>
      </c>
      <c r="C44" s="4" t="s">
        <v>58</v>
      </c>
      <c r="D44" s="57" t="str">
        <f t="shared" si="1"/>
        <v>295/80R22,5SP571</v>
      </c>
      <c r="E44" s="69">
        <v>16.100000000000001</v>
      </c>
    </row>
    <row r="45" spans="1:5" x14ac:dyDescent="0.25">
      <c r="A45" s="66">
        <f t="shared" si="0"/>
        <v>44</v>
      </c>
      <c r="B45" s="3" t="s">
        <v>41</v>
      </c>
      <c r="C45" s="4" t="s">
        <v>58</v>
      </c>
      <c r="D45" s="57" t="str">
        <f t="shared" si="1"/>
        <v>11R22,5SP571</v>
      </c>
      <c r="E45" s="69">
        <v>17.5</v>
      </c>
    </row>
    <row r="46" spans="1:5" x14ac:dyDescent="0.25">
      <c r="A46" s="66">
        <f t="shared" si="0"/>
        <v>45</v>
      </c>
      <c r="B46" s="3" t="s">
        <v>42</v>
      </c>
      <c r="C46" s="4" t="s">
        <v>58</v>
      </c>
      <c r="D46" s="57" t="str">
        <f t="shared" si="1"/>
        <v>12R22,5SP571</v>
      </c>
      <c r="E46" s="69">
        <v>18.3</v>
      </c>
    </row>
    <row r="47" spans="1:5" x14ac:dyDescent="0.25">
      <c r="A47" s="66">
        <f t="shared" si="0"/>
        <v>46</v>
      </c>
      <c r="B47" s="3" t="s">
        <v>52</v>
      </c>
      <c r="C47" s="4" t="s">
        <v>58</v>
      </c>
      <c r="D47" s="57" t="str">
        <f t="shared" si="1"/>
        <v>13R20SP571</v>
      </c>
      <c r="E47" s="69">
        <v>17.8</v>
      </c>
    </row>
    <row r="48" spans="1:5" x14ac:dyDescent="0.25">
      <c r="A48" s="66">
        <f t="shared" si="0"/>
        <v>47</v>
      </c>
      <c r="B48" s="3" t="s">
        <v>121</v>
      </c>
      <c r="C48" s="4" t="s">
        <v>58</v>
      </c>
      <c r="D48" s="57" t="str">
        <f t="shared" si="1"/>
        <v>10R20SP571</v>
      </c>
      <c r="E48" s="69">
        <v>17.5</v>
      </c>
    </row>
    <row r="49" spans="1:5" x14ac:dyDescent="0.25">
      <c r="A49" s="66">
        <f t="shared" si="0"/>
        <v>48</v>
      </c>
      <c r="B49" s="3" t="s">
        <v>123</v>
      </c>
      <c r="C49" s="4" t="s">
        <v>58</v>
      </c>
      <c r="D49" s="57" t="str">
        <f t="shared" si="1"/>
        <v>11R20SP571</v>
      </c>
      <c r="E49" s="69">
        <v>18.3</v>
      </c>
    </row>
    <row r="50" spans="1:5" x14ac:dyDescent="0.25">
      <c r="A50" s="66">
        <f t="shared" si="0"/>
        <v>49</v>
      </c>
      <c r="B50" s="3" t="s">
        <v>55</v>
      </c>
      <c r="C50" s="4" t="s">
        <v>58</v>
      </c>
      <c r="D50" s="57" t="str">
        <f t="shared" si="1"/>
        <v>12,00R22,5SP571</v>
      </c>
      <c r="E50" s="69">
        <v>16.7</v>
      </c>
    </row>
    <row r="51" spans="1:5" x14ac:dyDescent="0.25">
      <c r="A51" s="66">
        <f t="shared" si="0"/>
        <v>50</v>
      </c>
      <c r="B51" s="3" t="s">
        <v>32</v>
      </c>
      <c r="C51" s="4" t="s">
        <v>58</v>
      </c>
      <c r="D51" s="57" t="str">
        <f t="shared" si="1"/>
        <v>215/75R17,5SP571</v>
      </c>
      <c r="E51" s="69">
        <v>14.4</v>
      </c>
    </row>
    <row r="52" spans="1:5" x14ac:dyDescent="0.25">
      <c r="A52" s="66">
        <f t="shared" si="0"/>
        <v>51</v>
      </c>
      <c r="B52" s="3" t="s">
        <v>56</v>
      </c>
      <c r="C52" s="4" t="s">
        <v>58</v>
      </c>
      <c r="D52" s="57" t="str">
        <f t="shared" si="1"/>
        <v>225/80R17,5SP571</v>
      </c>
      <c r="E52" s="69">
        <v>13.2</v>
      </c>
    </row>
    <row r="53" spans="1:5" x14ac:dyDescent="0.25">
      <c r="A53" s="66">
        <f t="shared" si="0"/>
        <v>52</v>
      </c>
      <c r="B53" s="3" t="s">
        <v>57</v>
      </c>
      <c r="C53" s="4" t="s">
        <v>58</v>
      </c>
      <c r="D53" s="57" t="str">
        <f t="shared" si="1"/>
        <v>7,50R16SP571</v>
      </c>
      <c r="E53" s="69">
        <v>13.2</v>
      </c>
    </row>
    <row r="54" spans="1:5" x14ac:dyDescent="0.25">
      <c r="A54" s="66">
        <f t="shared" si="0"/>
        <v>53</v>
      </c>
      <c r="B54" s="6" t="s">
        <v>59</v>
      </c>
      <c r="C54" s="7" t="s">
        <v>61</v>
      </c>
      <c r="D54" s="56" t="str">
        <f t="shared" si="1"/>
        <v>315/70R22,5SP835</v>
      </c>
      <c r="E54" s="68">
        <v>22</v>
      </c>
    </row>
    <row r="55" spans="1:5" x14ac:dyDescent="0.25">
      <c r="A55" s="66">
        <f t="shared" si="0"/>
        <v>54</v>
      </c>
      <c r="B55" s="6" t="s">
        <v>36</v>
      </c>
      <c r="C55" s="7" t="s">
        <v>61</v>
      </c>
      <c r="D55" s="56" t="str">
        <f t="shared" si="1"/>
        <v>275/80R22,5SP835</v>
      </c>
      <c r="E55" s="68">
        <v>21.4</v>
      </c>
    </row>
    <row r="56" spans="1:5" x14ac:dyDescent="0.25">
      <c r="A56" s="66">
        <f t="shared" si="0"/>
        <v>55</v>
      </c>
      <c r="B56" s="6" t="s">
        <v>37</v>
      </c>
      <c r="C56" s="7" t="s">
        <v>61</v>
      </c>
      <c r="D56" s="56" t="str">
        <f t="shared" si="1"/>
        <v>295/80R22,5SP835</v>
      </c>
      <c r="E56" s="68">
        <v>21.4</v>
      </c>
    </row>
    <row r="57" spans="1:5" x14ac:dyDescent="0.25">
      <c r="A57" s="66">
        <f t="shared" si="0"/>
        <v>56</v>
      </c>
      <c r="B57" s="6" t="s">
        <v>38</v>
      </c>
      <c r="C57" s="7" t="s">
        <v>61</v>
      </c>
      <c r="D57" s="56" t="str">
        <f t="shared" si="1"/>
        <v>315/80R22,5SP835</v>
      </c>
      <c r="E57" s="68">
        <v>23</v>
      </c>
    </row>
    <row r="58" spans="1:5" x14ac:dyDescent="0.25">
      <c r="A58" s="66">
        <f t="shared" si="0"/>
        <v>57</v>
      </c>
      <c r="B58" s="6" t="s">
        <v>41</v>
      </c>
      <c r="C58" s="7" t="s">
        <v>61</v>
      </c>
      <c r="D58" s="56" t="str">
        <f t="shared" si="1"/>
        <v>11R22,5SP835</v>
      </c>
      <c r="E58" s="68">
        <v>22.2</v>
      </c>
    </row>
    <row r="59" spans="1:5" x14ac:dyDescent="0.25">
      <c r="A59" s="66">
        <f t="shared" si="0"/>
        <v>58</v>
      </c>
      <c r="B59" s="6" t="s">
        <v>42</v>
      </c>
      <c r="C59" s="7" t="s">
        <v>61</v>
      </c>
      <c r="D59" s="56" t="str">
        <f t="shared" si="1"/>
        <v>12R22,5SP835</v>
      </c>
      <c r="E59" s="68">
        <v>22.5</v>
      </c>
    </row>
    <row r="60" spans="1:5" x14ac:dyDescent="0.25">
      <c r="A60" s="66">
        <f t="shared" si="0"/>
        <v>59</v>
      </c>
      <c r="B60" s="6" t="s">
        <v>60</v>
      </c>
      <c r="C60" s="7" t="s">
        <v>61</v>
      </c>
      <c r="D60" s="56" t="str">
        <f t="shared" si="1"/>
        <v>265/70R19,5SP835</v>
      </c>
      <c r="E60" s="68">
        <v>15.9</v>
      </c>
    </row>
    <row r="61" spans="1:5" x14ac:dyDescent="0.25">
      <c r="A61" s="66">
        <f t="shared" si="0"/>
        <v>60</v>
      </c>
      <c r="B61" s="6" t="s">
        <v>32</v>
      </c>
      <c r="C61" s="7" t="s">
        <v>61</v>
      </c>
      <c r="D61" s="56" t="str">
        <f t="shared" si="1"/>
        <v>215/75R17,5SP835</v>
      </c>
      <c r="E61" s="68">
        <v>14.6</v>
      </c>
    </row>
    <row r="62" spans="1:5" x14ac:dyDescent="0.25">
      <c r="A62" s="66">
        <f t="shared" si="0"/>
        <v>61</v>
      </c>
      <c r="B62" s="6" t="s">
        <v>34</v>
      </c>
      <c r="C62" s="7" t="s">
        <v>61</v>
      </c>
      <c r="D62" s="56" t="str">
        <f t="shared" si="1"/>
        <v>235/75R17,5SP835</v>
      </c>
      <c r="E62" s="68">
        <v>15.3</v>
      </c>
    </row>
    <row r="63" spans="1:5" x14ac:dyDescent="0.25">
      <c r="A63" s="66">
        <f t="shared" si="0"/>
        <v>62</v>
      </c>
      <c r="B63" s="3" t="s">
        <v>35</v>
      </c>
      <c r="C63" s="4" t="s">
        <v>62</v>
      </c>
      <c r="D63" s="57" t="str">
        <f t="shared" si="1"/>
        <v>385/55R22,5SP261</v>
      </c>
      <c r="E63" s="69">
        <v>16</v>
      </c>
    </row>
    <row r="64" spans="1:5" x14ac:dyDescent="0.25">
      <c r="A64" s="66">
        <f t="shared" si="0"/>
        <v>63</v>
      </c>
      <c r="B64" s="3" t="s">
        <v>33</v>
      </c>
      <c r="C64" s="4" t="s">
        <v>62</v>
      </c>
      <c r="D64" s="57" t="str">
        <f t="shared" si="1"/>
        <v>385/65R22,5SP261</v>
      </c>
      <c r="E64" s="69">
        <v>16.5</v>
      </c>
    </row>
    <row r="65" spans="1:5" x14ac:dyDescent="0.25">
      <c r="A65" s="66">
        <f t="shared" si="0"/>
        <v>64</v>
      </c>
      <c r="B65" s="6" t="s">
        <v>63</v>
      </c>
      <c r="C65" s="7" t="s">
        <v>70</v>
      </c>
      <c r="D65" s="56" t="str">
        <f t="shared" si="1"/>
        <v>275/70R22,5SP160</v>
      </c>
      <c r="E65" s="68">
        <v>13.4</v>
      </c>
    </row>
    <row r="66" spans="1:5" x14ac:dyDescent="0.25">
      <c r="A66" s="66">
        <f t="shared" si="0"/>
        <v>65</v>
      </c>
      <c r="B66" s="6" t="s">
        <v>36</v>
      </c>
      <c r="C66" s="7" t="s">
        <v>70</v>
      </c>
      <c r="D66" s="56" t="str">
        <f t="shared" si="1"/>
        <v>275/80R22,5SP160</v>
      </c>
      <c r="E66" s="68">
        <v>13.4</v>
      </c>
    </row>
    <row r="67" spans="1:5" x14ac:dyDescent="0.25">
      <c r="A67" s="66">
        <f t="shared" ref="A67:A85" si="2">ROW()-1</f>
        <v>66</v>
      </c>
      <c r="B67" s="6" t="s">
        <v>64</v>
      </c>
      <c r="C67" s="7" t="s">
        <v>70</v>
      </c>
      <c r="D67" s="56" t="str">
        <f t="shared" ref="D67:D85" si="3">B67&amp;C67</f>
        <v>9R22,5SP160</v>
      </c>
      <c r="E67" s="68">
        <v>12.5</v>
      </c>
    </row>
    <row r="68" spans="1:5" x14ac:dyDescent="0.25">
      <c r="A68" s="66">
        <f t="shared" si="2"/>
        <v>67</v>
      </c>
      <c r="B68" s="6" t="s">
        <v>65</v>
      </c>
      <c r="C68" s="7" t="s">
        <v>70</v>
      </c>
      <c r="D68" s="56" t="str">
        <f t="shared" si="3"/>
        <v>10R22,5SP160</v>
      </c>
      <c r="E68" s="68">
        <v>13</v>
      </c>
    </row>
    <row r="69" spans="1:5" x14ac:dyDescent="0.25">
      <c r="A69" s="66">
        <f t="shared" si="2"/>
        <v>68</v>
      </c>
      <c r="B69" s="6" t="s">
        <v>41</v>
      </c>
      <c r="C69" s="7" t="s">
        <v>70</v>
      </c>
      <c r="D69" s="56" t="str">
        <f t="shared" si="3"/>
        <v>11R22,5SP160</v>
      </c>
      <c r="E69" s="68">
        <v>13.4</v>
      </c>
    </row>
    <row r="70" spans="1:5" x14ac:dyDescent="0.25">
      <c r="A70" s="66">
        <f t="shared" si="2"/>
        <v>69</v>
      </c>
      <c r="B70" s="6" t="s">
        <v>42</v>
      </c>
      <c r="C70" s="7" t="s">
        <v>70</v>
      </c>
      <c r="D70" s="56" t="str">
        <f t="shared" si="3"/>
        <v>12R22,5SP160</v>
      </c>
      <c r="E70" s="68">
        <v>13.9</v>
      </c>
    </row>
    <row r="71" spans="1:5" x14ac:dyDescent="0.25">
      <c r="A71" s="66">
        <f t="shared" si="2"/>
        <v>70</v>
      </c>
      <c r="B71" s="6" t="s">
        <v>38</v>
      </c>
      <c r="C71" s="7" t="s">
        <v>70</v>
      </c>
      <c r="D71" s="56" t="str">
        <f t="shared" si="3"/>
        <v>315/80R22,5SP160</v>
      </c>
      <c r="E71" s="68">
        <v>14.7</v>
      </c>
    </row>
    <row r="72" spans="1:5" x14ac:dyDescent="0.25">
      <c r="A72" s="66">
        <f t="shared" si="2"/>
        <v>71</v>
      </c>
      <c r="B72" s="6" t="s">
        <v>66</v>
      </c>
      <c r="C72" s="7" t="s">
        <v>70</v>
      </c>
      <c r="D72" s="56" t="str">
        <f t="shared" si="3"/>
        <v>9,00R20SP160</v>
      </c>
      <c r="E72" s="68">
        <v>13</v>
      </c>
    </row>
    <row r="73" spans="1:5" x14ac:dyDescent="0.25">
      <c r="A73" s="66">
        <f t="shared" si="2"/>
        <v>72</v>
      </c>
      <c r="B73" s="6" t="s">
        <v>121</v>
      </c>
      <c r="C73" s="7" t="s">
        <v>70</v>
      </c>
      <c r="D73" s="56" t="str">
        <f t="shared" si="3"/>
        <v>10R20SP160</v>
      </c>
      <c r="E73" s="68">
        <v>13.2</v>
      </c>
    </row>
    <row r="74" spans="1:5" x14ac:dyDescent="0.25">
      <c r="A74" s="66">
        <f t="shared" si="2"/>
        <v>73</v>
      </c>
      <c r="B74" s="6" t="s">
        <v>123</v>
      </c>
      <c r="C74" s="7" t="s">
        <v>70</v>
      </c>
      <c r="D74" s="56" t="str">
        <f t="shared" si="3"/>
        <v>11R20SP160</v>
      </c>
      <c r="E74" s="68">
        <v>13.9</v>
      </c>
    </row>
    <row r="75" spans="1:5" x14ac:dyDescent="0.25">
      <c r="A75" s="66">
        <f t="shared" si="2"/>
        <v>74</v>
      </c>
      <c r="B75" s="6" t="s">
        <v>67</v>
      </c>
      <c r="C75" s="7" t="s">
        <v>70</v>
      </c>
      <c r="D75" s="56" t="str">
        <f t="shared" si="3"/>
        <v>245/70R19,5SP160</v>
      </c>
      <c r="E75" s="68">
        <v>12.5</v>
      </c>
    </row>
    <row r="76" spans="1:5" x14ac:dyDescent="0.25">
      <c r="A76" s="66">
        <f t="shared" si="2"/>
        <v>75</v>
      </c>
      <c r="B76" s="6" t="s">
        <v>67</v>
      </c>
      <c r="C76" s="7" t="s">
        <v>70</v>
      </c>
      <c r="D76" s="56" t="str">
        <f t="shared" si="3"/>
        <v>245/70R19,5SP160</v>
      </c>
      <c r="E76" s="68">
        <v>12.5</v>
      </c>
    </row>
    <row r="77" spans="1:5" x14ac:dyDescent="0.25">
      <c r="A77" s="66">
        <f t="shared" si="2"/>
        <v>76</v>
      </c>
      <c r="B77" s="6" t="s">
        <v>68</v>
      </c>
      <c r="C77" s="7" t="s">
        <v>70</v>
      </c>
      <c r="D77" s="56" t="str">
        <f t="shared" si="3"/>
        <v>7,50R18SP160</v>
      </c>
      <c r="E77" s="68">
        <v>12</v>
      </c>
    </row>
    <row r="78" spans="1:5" x14ac:dyDescent="0.25">
      <c r="A78" s="66">
        <f t="shared" si="2"/>
        <v>77</v>
      </c>
      <c r="B78" s="6" t="s">
        <v>57</v>
      </c>
      <c r="C78" s="7" t="s">
        <v>70</v>
      </c>
      <c r="D78" s="56" t="str">
        <f t="shared" si="3"/>
        <v>7,50R16SP160</v>
      </c>
      <c r="E78" s="68">
        <v>11.5</v>
      </c>
    </row>
    <row r="79" spans="1:5" x14ac:dyDescent="0.25">
      <c r="A79" s="66">
        <f t="shared" si="2"/>
        <v>78</v>
      </c>
      <c r="B79" s="6" t="s">
        <v>57</v>
      </c>
      <c r="C79" s="7" t="s">
        <v>70</v>
      </c>
      <c r="D79" s="56" t="str">
        <f t="shared" si="3"/>
        <v>7,50R16SP160</v>
      </c>
      <c r="E79" s="68">
        <v>11.3</v>
      </c>
    </row>
    <row r="80" spans="1:5" x14ac:dyDescent="0.25">
      <c r="A80" s="66">
        <f t="shared" si="2"/>
        <v>79</v>
      </c>
      <c r="B80" s="6" t="s">
        <v>69</v>
      </c>
      <c r="C80" s="7" t="s">
        <v>70</v>
      </c>
      <c r="D80" s="56" t="str">
        <f t="shared" si="3"/>
        <v>8,25R16SP160</v>
      </c>
      <c r="E80" s="68">
        <v>11.8</v>
      </c>
    </row>
    <row r="81" spans="1:5" x14ac:dyDescent="0.25">
      <c r="A81" s="66">
        <f t="shared" si="2"/>
        <v>80</v>
      </c>
      <c r="B81" s="6" t="s">
        <v>124</v>
      </c>
      <c r="C81" s="7" t="s">
        <v>70</v>
      </c>
      <c r="D81" s="56" t="str">
        <f t="shared" si="3"/>
        <v>10R15SP160</v>
      </c>
      <c r="E81" s="68">
        <v>12.5</v>
      </c>
    </row>
    <row r="82" spans="1:5" x14ac:dyDescent="0.25">
      <c r="A82" s="66">
        <f t="shared" si="2"/>
        <v>81</v>
      </c>
      <c r="B82" s="6" t="s">
        <v>124</v>
      </c>
      <c r="C82" s="7" t="s">
        <v>70</v>
      </c>
      <c r="D82" s="56" t="str">
        <f t="shared" si="3"/>
        <v>10R15SP160</v>
      </c>
      <c r="E82" s="68">
        <v>12.5</v>
      </c>
    </row>
    <row r="83" spans="1:5" x14ac:dyDescent="0.25">
      <c r="A83" s="66">
        <f t="shared" si="2"/>
        <v>82</v>
      </c>
      <c r="B83" s="4" t="s">
        <v>38</v>
      </c>
      <c r="C83" s="4" t="s">
        <v>72</v>
      </c>
      <c r="D83" s="57" t="str">
        <f t="shared" si="3"/>
        <v>315/80R22,5AT115</v>
      </c>
      <c r="E83" s="69">
        <v>15</v>
      </c>
    </row>
    <row r="84" spans="1:5" x14ac:dyDescent="0.25">
      <c r="A84" s="66">
        <f t="shared" si="2"/>
        <v>83</v>
      </c>
      <c r="B84" s="7" t="s">
        <v>38</v>
      </c>
      <c r="C84" s="7" t="s">
        <v>73</v>
      </c>
      <c r="D84" s="56" t="str">
        <f t="shared" si="3"/>
        <v>315/80R22,5AT127</v>
      </c>
      <c r="E84" s="68">
        <v>20</v>
      </c>
    </row>
    <row r="85" spans="1:5" x14ac:dyDescent="0.25">
      <c r="A85" s="77">
        <f t="shared" si="2"/>
        <v>84</v>
      </c>
      <c r="B85" s="78" t="s">
        <v>38</v>
      </c>
      <c r="C85" s="78" t="s">
        <v>74</v>
      </c>
      <c r="D85" s="79" t="str">
        <f t="shared" si="3"/>
        <v xml:space="preserve">315/80R22,5TQ660 </v>
      </c>
      <c r="E85" s="80">
        <v>16</v>
      </c>
    </row>
    <row r="86" spans="1:5" x14ac:dyDescent="0.25">
      <c r="A86" s="77">
        <f>ROW()-1</f>
        <v>85</v>
      </c>
      <c r="B86" t="s">
        <v>49</v>
      </c>
      <c r="C86" s="94" t="s">
        <v>134</v>
      </c>
      <c r="D86" s="95" t="str">
        <f>B86&amp;C86</f>
        <v>13R22,5AT27</v>
      </c>
      <c r="E86" s="96">
        <v>16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UI</vt:lpstr>
      <vt:lpstr>Gui</vt:lpstr>
      <vt:lpstr>Filter!Criteres</vt:lpstr>
      <vt:lpstr>Filter2!Criteres</vt:lpstr>
      <vt:lpstr>Filter!Extraire</vt:lpstr>
      <vt:lpstr>Filter2!Extraire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Zakaria QADDI</dc:creator>
  <cp:lastModifiedBy>Zakaria QADDI</cp:lastModifiedBy>
  <dcterms:created xsi:type="dcterms:W3CDTF">2015-06-05T18:17:20Z</dcterms:created>
  <dcterms:modified xsi:type="dcterms:W3CDTF">2023-04-02T13:18:20Z</dcterms:modified>
</cp:coreProperties>
</file>